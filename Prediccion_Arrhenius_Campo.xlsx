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a36e07bd5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diccion" sheetId="1" r:id="R0d65ca8b11054f5b"/>
    <x:sheet xmlns:r="http://schemas.openxmlformats.org/officeDocument/2006/relationships" name="Configuracion" sheetId="2" r:id="R1bc2e3cfe1da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/mm/yyyy"/>
    <x:numFmt numFmtId="201" formatCode="hh:mm:ss"/>
    <x:numFmt numFmtId="202" formatCode="[h]:mm:ss"/>
    <x:numFmt numFmtId="203" formatCode="0.0"/>
    <x:numFmt numFmtId="204" formatCode="0.000"/>
    <x:numFmt numFmtId="205" formatCode="0%"/>
    <x:numFmt numFmtId="206" formatCode="0.00"/>
    <x:numFmt numFmtId="207" formatCode="[h]:mm"/>
    <x:numFmt numFmtId="208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5" fontId="3" fillId="5" borderId="0" xfId="0" applyNumberFormat="1" applyFont="1" applyFill="1" applyBorder="1"/>
    <x:xf numFmtId="205" fontId="3" fillId="5" borderId="1" xfId="0" applyNumberFormat="1" applyFont="1" applyFill="1" applyBorder="1"/>
    <x:xf numFmtId="207" fontId="3" fillId="5" borderId="0" xfId="0" applyNumberFormat="1" applyFont="1" applyFill="1" applyBorder="1"/>
    <x:xf numFmtId="207" fontId="3" fillId="5" borderId="1" xfId="0" applyNumberFormat="1" applyFont="1" applyFill="1" applyBorder="1"/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5" fontId="0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202" fontId="0" fillId="8" borderId="0" xfId="0" applyNumberFormat="1" applyFont="1" applyFill="1" applyBorder="1"/>
    <x:xf numFmtId="203" fontId="0" fillId="8" borderId="0" xfId="0" applyNumberFormat="1" applyFont="1" applyFill="1" applyBorder="1"/>
    <x:xf numFmtId="202" fontId="5" fillId="8" borderId="0" xfId="0" applyNumberFormat="1" applyFont="1" applyFill="1" applyBorder="1"/>
    <x:xf numFmtId="203" fontId="5" fillId="8" borderId="0" xfId="0" applyNumberFormat="1" applyFont="1" applyFill="1" applyBorder="1"/>
    <x:xf numFmtId="208" fontId="5" fillId="8" borderId="0" xfId="0" applyNumberFormat="1" applyFont="1" applyFill="1" applyBorder="1"/>
    <x:xf numFmtId="208" fontId="0" fillId="0" borderId="0" xfId="0" applyNumberFormat="1" applyFont="1" applyFill="1" applyBorder="1"/>
    <x:xf numFmtId="208" fontId="3" fillId="5" borderId="0" xfId="0" applyNumberFormat="1" applyFont="1" applyFill="1" applyBorder="1"/>
    <x:xf numFmtId="203" fontId="3" fillId="5" borderId="0" xfId="0" applyNumberFormat="1" applyFont="1" applyFill="1" applyBorder="1"/>
    <x:xf numFmtId="204" fontId="3" fillId="5" borderId="0" xfId="0" applyNumberFormat="1" applyFont="1" applyFill="1" applyBorder="1"/>
    <x:xf numFmtId="206" fontId="3" fillId="5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a171ff6624ee9" /><Relationship Type="http://schemas.openxmlformats.org/officeDocument/2006/relationships/theme" Target="/xl/theme/theme1.xml" Id="R01bc54068a854dd7" /><Relationship Type="http://schemas.openxmlformats.org/officeDocument/2006/relationships/sharedStrings" Target="/xl/sharedStrings.xml" Id="Rd72905b6285547cc" /><Relationship Type="http://schemas.openxmlformats.org/officeDocument/2006/relationships/worksheet" Target="/xl/worksheets/sheet1.xml" Id="R0d65ca8b11054f5b" /><Relationship Type="http://schemas.openxmlformats.org/officeDocument/2006/relationships/worksheet" Target="/xl/worksheets/sheet2.xml" Id="R1bc2e3cfe1da47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87c2cdf9ec45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Evolución de temperatura del concreto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Temperatura concreto °C</c:v>
          </c:tx>
          <c:cat>
            <c:strRef>
              <c:f>'Prediccion'!$C$8:$C$1007</c:f>
              <c:strCache>
                <c:ptCount val="0"/>
              </c:strCache>
            </c:strRef>
          </c:cat>
          <c:val>
            <c:numRef>
              <c:f>'Prediccion'!$D$8:$D$1007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87c2cdf9ec45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502399c90741f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5" t="str">
        <x:v>PREDICCIÓN DE FRAGUADO DEL CONCRETO — MODELO ARRHENIUS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67" t="str">
        <x:v>CAPTURA ÚNICAMENTE LAS CELDAS AMARILLAS: minutos transcurridos y temperatura del concreto.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</x:row>
    <x:row r="3">
      <x:c r="A3" s="21" t="str">
        <x:v>Última temperatura (°C)</x:v>
      </x:c>
      <x:c r="B3" s="75" t="str">
        <x:f>IFERROR(LOOKUP(2,1/(D8:D1007&lt;&gt;""),D8:D1007),"")</x:f>
      </x:c>
      <x:c r="D3" s="21" t="str">
        <x:v>Horas estimadas restantes</x:v>
      </x:c>
      <x:c r="E3" s="77" t="str">
        <x:f>IFERROR(LOOKUP(2,1/(D8:D1007&lt;&gt;""),K8:K1007),"")</x:f>
      </x:c>
    </x:row>
    <x:row r="4">
      <x:c r="A4" s="21" t="str">
        <x:v>Madurez acumulada (h eq.)</x:v>
      </x:c>
      <x:c r="B4" s="76" t="str">
        <x:f>IFERROR(LOOKUP(2,1/(D8:D1007&lt;&gt;""),I8:I1007),"")</x:f>
      </x:c>
      <x:c r="D4" s="21" t="str">
        <x:v>Minuto estimado de fraguado</x:v>
      </x:c>
      <x:c r="E4" s="74" t="str">
        <x:f>IFERROR(LOOKUP(2,1/(D8:D1007&lt;&gt;""),L8:L1007),"")</x:f>
      </x:c>
    </x:row>
    <x:row r="5">
      <x:c r="A5" s="21" t="str">
        <x:v>Avance de fraguado</x:v>
      </x:c>
      <x:c r="B5" s="52" t="str">
        <x:f>IFERROR(LOOKUP(2,1/(D8:D1007&lt;&gt;""),J8:J1007),"")</x:f>
      </x:c>
      <x:c r="D5" s="21" t="str">
        <x:v>Madurez objetivo (h eq.)</x:v>
      </x:c>
      <x:c r="E5" s="25" t="n">
        <x:f>Configuracion!B11</x:f>
        <x:v>7.976855441542278</x:v>
      </x:c>
    </x:row>
    <x:row r="6">
      <x:c r="A6" s="21" t="str">
        <x:v>Estado actual</x:v>
      </x:c>
      <x:c r="B6" s="25" t="str">
        <x:f>IFERROR(LOOKUP(2,1/(D8:D1007&lt;&gt;""),M8:M1007),"SIN DATOS")</x:f>
        <x:v>SIN DATOS</x:v>
      </x:c>
      <x:c r="D6" s="21" t="str">
        <x:v>Temperatura de referencia</x:v>
      </x:c>
      <x:c r="E6" s="25" t="n">
        <x:f>Configuracion!B3</x:f>
        <x:v>23</x:v>
      </x:c>
    </x:row>
    <x:row r="7">
      <x:c r="A7" s="14" t="str">
        <x:v>Fecha (opcional)</x:v>
      </x:c>
      <x:c r="B7" s="14" t="str">
        <x:v>Hora real (opcional)</x:v>
      </x:c>
      <x:c r="C7" s="14" t="str">
        <x:v>Minutos transcurridos</x:v>
      </x:c>
      <x:c r="D7" s="14" t="str">
        <x:v>Temperatura concreto °C</x:v>
      </x:c>
      <x:c r="E7" s="14" t="str">
        <x:v>Temperatura °K</x:v>
      </x:c>
      <x:c r="F7" s="14" t="str">
        <x:v>Δt (h)</x:v>
      </x:c>
      <x:c r="G7" s="14" t="str">
        <x:v>Factor Arrhenius</x:v>
      </x:c>
      <x:c r="H7" s="14" t="str">
        <x:v>Tiempo eq. intervalo</x:v>
      </x:c>
      <x:c r="I7" s="14" t="str">
        <x:v>Madurez acumulada</x:v>
      </x:c>
      <x:c r="J7" s="14" t="str">
        <x:v>Avance de fraguado</x:v>
      </x:c>
      <x:c r="K7" s="14" t="str">
        <x:v>Horas restantes</x:v>
      </x:c>
      <x:c r="L7" s="14" t="str">
        <x:v>Minuto estimado de fraguado</x:v>
      </x:c>
      <x:c r="M7" s="14" t="str">
        <x:v>Estado</x:v>
      </x:c>
      <x:c r="N7" s="14" t="str">
        <x:v>ΔT desde inicio</x:v>
      </x:c>
      <x:c r="O7" s="14" t="str">
        <x:v>Avance térmico</x:v>
      </x:c>
    </x:row>
    <x:row r="8">
      <x:c r="A8" s="34"/>
      <x:c r="B8" s="36"/>
      <x:c r="C8" s="72"/>
      <x:c r="D8" s="71"/>
      <x:c r="E8" s="41" t="str">
        <x:f>IF(D8="","",D8+273.15)</x:f>
      </x:c>
      <x:c r="F8" s="44" t="str">
        <x:f>IF(OR(C8="",D8=""),"",C8/60)</x:f>
      </x:c>
      <x:c r="G8" s="44" t="str">
        <x:f>IF(D8="","",EXP(-Configuracion!$B$4/Configuracion!$B$5*(1/E8-1/(Configuracion!$B$3+273.15))))</x:f>
      </x:c>
      <x:c r="H8" s="44" t="str">
        <x:f>IF(D8="","",F8*G8)</x:f>
      </x:c>
      <x:c r="I8" s="44" t="str">
        <x:f>IF(D8="","",H8)</x:f>
      </x:c>
      <x:c r="J8" s="46" t="str">
        <x:f>IF(D8="","",MIN(1,I8/Configuracion!$B$11))</x:f>
      </x:c>
      <x:c r="K8" s="48" t="str">
        <x:f>IF(D8="","",MAX(0,(Configuracion!$B$11-I8)/G8))</x:f>
      </x:c>
      <x:c r="L8" s="73" t="str">
        <x:f>IF(D8="","",C8+K8*60)</x:f>
      </x:c>
      <x:c r="M8" t="str">
        <x:f>IF(D8="","",IF(J8&gt;=Configuracion!$B$13,"DESLIZAR",IF(J8&gt;=Configuracion!$B$12,"PREPARARSE","NO DESLIZAR")))</x:f>
      </x:c>
      <x:c r="N8" s="41" t="str">
        <x:f>IF(D8="","",D8-$D$8)</x:f>
      </x:c>
      <x:c r="O8" s="46" t="str">
        <x:f>IF(D8="","",MAX(0,MIN(1,N8/Configuracion!$B$10)))</x:f>
      </x:c>
    </x:row>
    <x:row r="9">
      <x:c r="A9" s="34"/>
      <x:c r="B9" s="36"/>
      <x:c r="C9" s="72"/>
      <x:c r="D9" s="71"/>
      <x:c r="E9" s="41" t="str">
        <x:f>IF(D9="","",D9+273.15)</x:f>
      </x:c>
      <x:c r="F9" s="44" t="str">
        <x:f>IF(OR(C9="",D9="",C8=""),"",(C9-C8)/60)</x:f>
      </x:c>
      <x:c r="G9" s="44" t="str">
        <x:f>IF(D9="","",EXP(-Configuracion!$B$4/Configuracion!$B$5*(1/AVERAGE(E8:E9)-1/(Configuracion!$B$3+273.15))))</x:f>
      </x:c>
      <x:c r="H9" s="44" t="str">
        <x:f>IF(D9="","",F9*G9)</x:f>
      </x:c>
      <x:c r="I9" s="44" t="str">
        <x:f>IF(D9="","",I8+H9)</x:f>
      </x:c>
      <x:c r="J9" s="46" t="str">
        <x:f>IF(D9="","",MIN(1,I9/Configuracion!$B$11))</x:f>
      </x:c>
      <x:c r="K9" s="48" t="str">
        <x:f>IF(D9="","",MAX(0,(Configuracion!$B$11-I9)/G9))</x:f>
      </x:c>
      <x:c r="L9" s="73" t="str">
        <x:f>IF(D9="","",C9+K9*60)</x:f>
      </x:c>
      <x:c r="M9" t="str">
        <x:f>IF(D9="","",IF(J9&gt;=Configuracion!$B$13,"DESLIZAR",IF(J9&gt;=Configuracion!$B$12,"PREPARARSE","NO DESLIZAR")))</x:f>
      </x:c>
      <x:c r="N9" s="41" t="str">
        <x:f>IF(D9="","",D9-$D$8)</x:f>
      </x:c>
      <x:c r="O9" s="46" t="str">
        <x:f>IF(D9="","",MAX(0,MIN(1,N9/Configuracion!$B$10)))</x:f>
      </x:c>
    </x:row>
    <x:row r="10">
      <x:c r="A10" s="34"/>
      <x:c r="B10" s="36"/>
      <x:c r="C10" s="72"/>
      <x:c r="D10" s="71"/>
      <x:c r="E10" s="41" t="str">
        <x:f>IF(D10="","",D10+273.15)</x:f>
      </x:c>
      <x:c r="F10" s="44" t="str">
        <x:f>IF(OR(C10="",D10="",C9=""),"",(C10-C9)/60)</x:f>
      </x:c>
      <x:c r="G10" s="44" t="str">
        <x:f>IF(D10="","",EXP(-Configuracion!$B$4/Configuracion!$B$5*(1/AVERAGE(E9:E10)-1/(Configuracion!$B$3+273.15))))</x:f>
      </x:c>
      <x:c r="H10" s="44" t="str">
        <x:f>IF(D10="","",F10*G10)</x:f>
      </x:c>
      <x:c r="I10" s="44" t="str">
        <x:f>IF(D10="","",I9+H10)</x:f>
      </x:c>
      <x:c r="J10" s="46" t="str">
        <x:f>IF(D10="","",MIN(1,I10/Configuracion!$B$11))</x:f>
      </x:c>
      <x:c r="K10" s="48" t="str">
        <x:f>IF(D10="","",MAX(0,(Configuracion!$B$11-I10)/G10))</x:f>
      </x:c>
      <x:c r="L10" s="73" t="str">
        <x:f>IF(D10="","",C10+K10*60)</x:f>
      </x:c>
      <x:c r="M10" t="str">
        <x:f>IF(D10="","",IF(J10&gt;=Configuracion!$B$13,"DESLIZAR",IF(J10&gt;=Configuracion!$B$12,"PREPARARSE","NO DESLIZAR")))</x:f>
      </x:c>
      <x:c r="N10" s="41" t="str">
        <x:f>IF(D10="","",D10-$D$8)</x:f>
      </x:c>
      <x:c r="O10" s="46" t="str">
        <x:f>IF(D10="","",MAX(0,MIN(1,N10/Configuracion!$B$10)))</x:f>
      </x:c>
    </x:row>
    <x:row r="11">
      <x:c r="A11" s="34"/>
      <x:c r="B11" s="36"/>
      <x:c r="C11" s="72"/>
      <x:c r="D11" s="71"/>
      <x:c r="E11" s="41" t="str">
        <x:f>IF(D11="","",D11+273.15)</x:f>
      </x:c>
      <x:c r="F11" s="44" t="str">
        <x:f>IF(OR(C11="",D11="",C10=""),"",(C11-C10)/60)</x:f>
      </x:c>
      <x:c r="G11" s="44" t="str">
        <x:f>IF(D11="","",EXP(-Configuracion!$B$4/Configuracion!$B$5*(1/AVERAGE(E10:E11)-1/(Configuracion!$B$3+273.15))))</x:f>
      </x:c>
      <x:c r="H11" s="44" t="str">
        <x:f>IF(D11="","",F11*G11)</x:f>
      </x:c>
      <x:c r="I11" s="44" t="str">
        <x:f>IF(D11="","",I10+H11)</x:f>
      </x:c>
      <x:c r="J11" s="46" t="str">
        <x:f>IF(D11="","",MIN(1,I11/Configuracion!$B$11))</x:f>
      </x:c>
      <x:c r="K11" s="48" t="str">
        <x:f>IF(D11="","",MAX(0,(Configuracion!$B$11-I11)/G11))</x:f>
      </x:c>
      <x:c r="L11" s="73" t="str">
        <x:f>IF(D11="","",C11+K11*60)</x:f>
      </x:c>
      <x:c r="M11" t="str">
        <x:f>IF(D11="","",IF(J11&gt;=Configuracion!$B$13,"DESLIZAR",IF(J11&gt;=Configuracion!$B$12,"PREPARARSE","NO DESLIZAR")))</x:f>
      </x:c>
      <x:c r="N11" s="41" t="str">
        <x:f>IF(D11="","",D11-$D$8)</x:f>
      </x:c>
      <x:c r="O11" s="46" t="str">
        <x:f>IF(D11="","",MAX(0,MIN(1,N11/Configuracion!$B$10)))</x:f>
      </x:c>
    </x:row>
    <x:row r="12">
      <x:c r="A12" s="34"/>
      <x:c r="B12" s="36"/>
      <x:c r="C12" s="72"/>
      <x:c r="D12" s="71"/>
      <x:c r="E12" s="41" t="str">
        <x:f>IF(D12="","",D12+273.15)</x:f>
      </x:c>
      <x:c r="F12" s="44" t="str">
        <x:f>IF(OR(C12="",D12="",C11=""),"",(C12-C11)/60)</x:f>
      </x:c>
      <x:c r="G12" s="44" t="str">
        <x:f>IF(D12="","",EXP(-Configuracion!$B$4/Configuracion!$B$5*(1/AVERAGE(E11:E12)-1/(Configuracion!$B$3+273.15))))</x:f>
      </x:c>
      <x:c r="H12" s="44" t="str">
        <x:f>IF(D12="","",F12*G12)</x:f>
      </x:c>
      <x:c r="I12" s="44" t="str">
        <x:f>IF(D12="","",I11+H12)</x:f>
      </x:c>
      <x:c r="J12" s="46" t="str">
        <x:f>IF(D12="","",MIN(1,I12/Configuracion!$B$11))</x:f>
      </x:c>
      <x:c r="K12" s="48" t="str">
        <x:f>IF(D12="","",MAX(0,(Configuracion!$B$11-I12)/G12))</x:f>
      </x:c>
      <x:c r="L12" s="73" t="str">
        <x:f>IF(D12="","",C12+K12*60)</x:f>
      </x:c>
      <x:c r="M12" t="str">
        <x:f>IF(D12="","",IF(J12&gt;=Configuracion!$B$13,"DESLIZAR",IF(J12&gt;=Configuracion!$B$12,"PREPARARSE","NO DESLIZAR")))</x:f>
      </x:c>
      <x:c r="N12" s="41" t="str">
        <x:f>IF(D12="","",D12-$D$8)</x:f>
      </x:c>
      <x:c r="O12" s="46" t="str">
        <x:f>IF(D12="","",MAX(0,MIN(1,N12/Configuracion!$B$10)))</x:f>
      </x:c>
    </x:row>
    <x:row r="13">
      <x:c r="A13" s="34"/>
      <x:c r="B13" s="36"/>
      <x:c r="C13" s="72"/>
      <x:c r="D13" s="71"/>
      <x:c r="E13" s="41" t="str">
        <x:f>IF(D13="","",D13+273.15)</x:f>
      </x:c>
      <x:c r="F13" s="44" t="str">
        <x:f>IF(OR(C13="",D13="",C12=""),"",(C13-C12)/60)</x:f>
      </x:c>
      <x:c r="G13" s="44" t="str">
        <x:f>IF(D13="","",EXP(-Configuracion!$B$4/Configuracion!$B$5*(1/AVERAGE(E12:E13)-1/(Configuracion!$B$3+273.15))))</x:f>
      </x:c>
      <x:c r="H13" s="44" t="str">
        <x:f>IF(D13="","",F13*G13)</x:f>
      </x:c>
      <x:c r="I13" s="44" t="str">
        <x:f>IF(D13="","",I12+H13)</x:f>
      </x:c>
      <x:c r="J13" s="46" t="str">
        <x:f>IF(D13="","",MIN(1,I13/Configuracion!$B$11))</x:f>
      </x:c>
      <x:c r="K13" s="48" t="str">
        <x:f>IF(D13="","",MAX(0,(Configuracion!$B$11-I13)/G13))</x:f>
      </x:c>
      <x:c r="L13" s="73" t="str">
        <x:f>IF(D13="","",C13+K13*60)</x:f>
      </x:c>
      <x:c r="M13" t="str">
        <x:f>IF(D13="","",IF(J13&gt;=Configuracion!$B$13,"DESLIZAR",IF(J13&gt;=Configuracion!$B$12,"PREPARARSE","NO DESLIZAR")))</x:f>
      </x:c>
      <x:c r="N13" s="41" t="str">
        <x:f>IF(D13="","",D13-$D$8)</x:f>
      </x:c>
      <x:c r="O13" s="46" t="str">
        <x:f>IF(D13="","",MAX(0,MIN(1,N13/Configuracion!$B$10)))</x:f>
      </x:c>
    </x:row>
    <x:row r="14">
      <x:c r="A14" s="34"/>
      <x:c r="B14" s="36"/>
      <x:c r="C14" s="72"/>
      <x:c r="D14" s="71"/>
      <x:c r="E14" s="41" t="str">
        <x:f>IF(D14="","",D14+273.15)</x:f>
      </x:c>
      <x:c r="F14" s="44" t="str">
        <x:f>IF(OR(C14="",D14="",C13=""),"",(C14-C13)/60)</x:f>
      </x:c>
      <x:c r="G14" s="44" t="str">
        <x:f>IF(D14="","",EXP(-Configuracion!$B$4/Configuracion!$B$5*(1/AVERAGE(E13:E14)-1/(Configuracion!$B$3+273.15))))</x:f>
      </x:c>
      <x:c r="H14" s="44" t="str">
        <x:f>IF(D14="","",F14*G14)</x:f>
      </x:c>
      <x:c r="I14" s="44" t="str">
        <x:f>IF(D14="","",I13+H14)</x:f>
      </x:c>
      <x:c r="J14" s="46" t="str">
        <x:f>IF(D14="","",MIN(1,I14/Configuracion!$B$11))</x:f>
      </x:c>
      <x:c r="K14" s="48" t="str">
        <x:f>IF(D14="","",MAX(0,(Configuracion!$B$11-I14)/G14))</x:f>
      </x:c>
      <x:c r="L14" s="73" t="str">
        <x:f>IF(D14="","",C14+K14*60)</x:f>
      </x:c>
      <x:c r="M14" t="str">
        <x:f>IF(D14="","",IF(J14&gt;=Configuracion!$B$13,"DESLIZAR",IF(J14&gt;=Configuracion!$B$12,"PREPARARSE","NO DESLIZAR")))</x:f>
      </x:c>
      <x:c r="N14" s="41" t="str">
        <x:f>IF(D14="","",D14-$D$8)</x:f>
      </x:c>
      <x:c r="O14" s="46" t="str">
        <x:f>IF(D14="","",MAX(0,MIN(1,N14/Configuracion!$B$10)))</x:f>
      </x:c>
    </x:row>
    <x:row r="15">
      <x:c r="A15" s="34"/>
      <x:c r="B15" s="36"/>
      <x:c r="C15" s="72"/>
      <x:c r="D15" s="71"/>
      <x:c r="E15" s="41" t="str">
        <x:f>IF(D15="","",D15+273.15)</x:f>
      </x:c>
      <x:c r="F15" s="44" t="str">
        <x:f>IF(OR(C15="",D15="",C14=""),"",(C15-C14)/60)</x:f>
      </x:c>
      <x:c r="G15" s="44" t="str">
        <x:f>IF(D15="","",EXP(-Configuracion!$B$4/Configuracion!$B$5*(1/AVERAGE(E14:E15)-1/(Configuracion!$B$3+273.15))))</x:f>
      </x:c>
      <x:c r="H15" s="44" t="str">
        <x:f>IF(D15="","",F15*G15)</x:f>
      </x:c>
      <x:c r="I15" s="44" t="str">
        <x:f>IF(D15="","",I14+H15)</x:f>
      </x:c>
      <x:c r="J15" s="46" t="str">
        <x:f>IF(D15="","",MIN(1,I15/Configuracion!$B$11))</x:f>
      </x:c>
      <x:c r="K15" s="48" t="str">
        <x:f>IF(D15="","",MAX(0,(Configuracion!$B$11-I15)/G15))</x:f>
      </x:c>
      <x:c r="L15" s="73" t="str">
        <x:f>IF(D15="","",C15+K15*60)</x:f>
      </x:c>
      <x:c r="M15" t="str">
        <x:f>IF(D15="","",IF(J15&gt;=Configuracion!$B$13,"DESLIZAR",IF(J15&gt;=Configuracion!$B$12,"PREPARARSE","NO DESLIZAR")))</x:f>
      </x:c>
      <x:c r="N15" s="41" t="str">
        <x:f>IF(D15="","",D15-$D$8)</x:f>
      </x:c>
      <x:c r="O15" s="46" t="str">
        <x:f>IF(D15="","",MAX(0,MIN(1,N15/Configuracion!$B$10)))</x:f>
      </x:c>
    </x:row>
    <x:row r="16">
      <x:c r="A16" s="34"/>
      <x:c r="B16" s="36"/>
      <x:c r="C16" s="72"/>
      <x:c r="D16" s="71"/>
      <x:c r="E16" s="41" t="str">
        <x:f>IF(D16="","",D16+273.15)</x:f>
      </x:c>
      <x:c r="F16" s="44" t="str">
        <x:f>IF(OR(C16="",D16="",C15=""),"",(C16-C15)/60)</x:f>
      </x:c>
      <x:c r="G16" s="44" t="str">
        <x:f>IF(D16="","",EXP(-Configuracion!$B$4/Configuracion!$B$5*(1/AVERAGE(E15:E16)-1/(Configuracion!$B$3+273.15))))</x:f>
      </x:c>
      <x:c r="H16" s="44" t="str">
        <x:f>IF(D16="","",F16*G16)</x:f>
      </x:c>
      <x:c r="I16" s="44" t="str">
        <x:f>IF(D16="","",I15+H16)</x:f>
      </x:c>
      <x:c r="J16" s="46" t="str">
        <x:f>IF(D16="","",MIN(1,I16/Configuracion!$B$11))</x:f>
      </x:c>
      <x:c r="K16" s="48" t="str">
        <x:f>IF(D16="","",MAX(0,(Configuracion!$B$11-I16)/G16))</x:f>
      </x:c>
      <x:c r="L16" s="73" t="str">
        <x:f>IF(D16="","",C16+K16*60)</x:f>
      </x:c>
      <x:c r="M16" t="str">
        <x:f>IF(D16="","",IF(J16&gt;=Configuracion!$B$13,"DESLIZAR",IF(J16&gt;=Configuracion!$B$12,"PREPARARSE","NO DESLIZAR")))</x:f>
      </x:c>
      <x:c r="N16" s="41" t="str">
        <x:f>IF(D16="","",D16-$D$8)</x:f>
      </x:c>
      <x:c r="O16" s="46" t="str">
        <x:f>IF(D16="","",MAX(0,MIN(1,N16/Configuracion!$B$10)))</x:f>
      </x:c>
    </x:row>
    <x:row r="17">
      <x:c r="A17" s="34"/>
      <x:c r="B17" s="36"/>
      <x:c r="C17" s="72"/>
      <x:c r="D17" s="71"/>
      <x:c r="E17" s="41" t="str">
        <x:f>IF(D17="","",D17+273.15)</x:f>
      </x:c>
      <x:c r="F17" s="44" t="str">
        <x:f>IF(OR(C17="",D17="",C16=""),"",(C17-C16)/60)</x:f>
      </x:c>
      <x:c r="G17" s="44" t="str">
        <x:f>IF(D17="","",EXP(-Configuracion!$B$4/Configuracion!$B$5*(1/AVERAGE(E16:E17)-1/(Configuracion!$B$3+273.15))))</x:f>
      </x:c>
      <x:c r="H17" s="44" t="str">
        <x:f>IF(D17="","",F17*G17)</x:f>
      </x:c>
      <x:c r="I17" s="44" t="str">
        <x:f>IF(D17="","",I16+H17)</x:f>
      </x:c>
      <x:c r="J17" s="46" t="str">
        <x:f>IF(D17="","",MIN(1,I17/Configuracion!$B$11))</x:f>
      </x:c>
      <x:c r="K17" s="48" t="str">
        <x:f>IF(D17="","",MAX(0,(Configuracion!$B$11-I17)/G17))</x:f>
      </x:c>
      <x:c r="L17" s="73" t="str">
        <x:f>IF(D17="","",C17+K17*60)</x:f>
      </x:c>
      <x:c r="M17" t="str">
        <x:f>IF(D17="","",IF(J17&gt;=Configuracion!$B$13,"DESLIZAR",IF(J17&gt;=Configuracion!$B$12,"PREPARARSE","NO DESLIZAR")))</x:f>
      </x:c>
      <x:c r="N17" s="41" t="str">
        <x:f>IF(D17="","",D17-$D$8)</x:f>
      </x:c>
      <x:c r="O17" s="46" t="str">
        <x:f>IF(D17="","",MAX(0,MIN(1,N17/Configuracion!$B$10)))</x:f>
      </x:c>
    </x:row>
    <x:row r="18">
      <x:c r="A18" s="34"/>
      <x:c r="B18" s="36"/>
      <x:c r="C18" s="72"/>
      <x:c r="D18" s="71"/>
      <x:c r="E18" s="41" t="str">
        <x:f>IF(D18="","",D18+273.15)</x:f>
      </x:c>
      <x:c r="F18" s="44" t="str">
        <x:f>IF(OR(C18="",D18="",C17=""),"",(C18-C17)/60)</x:f>
      </x:c>
      <x:c r="G18" s="44" t="str">
        <x:f>IF(D18="","",EXP(-Configuracion!$B$4/Configuracion!$B$5*(1/AVERAGE(E17:E18)-1/(Configuracion!$B$3+273.15))))</x:f>
      </x:c>
      <x:c r="H18" s="44" t="str">
        <x:f>IF(D18="","",F18*G18)</x:f>
      </x:c>
      <x:c r="I18" s="44" t="str">
        <x:f>IF(D18="","",I17+H18)</x:f>
      </x:c>
      <x:c r="J18" s="46" t="str">
        <x:f>IF(D18="","",MIN(1,I18/Configuracion!$B$11))</x:f>
      </x:c>
      <x:c r="K18" s="48" t="str">
        <x:f>IF(D18="","",MAX(0,(Configuracion!$B$11-I18)/G18))</x:f>
      </x:c>
      <x:c r="L18" s="73" t="str">
        <x:f>IF(D18="","",C18+K18*60)</x:f>
      </x:c>
      <x:c r="M18" t="str">
        <x:f>IF(D18="","",IF(J18&gt;=Configuracion!$B$13,"DESLIZAR",IF(J18&gt;=Configuracion!$B$12,"PREPARARSE","NO DESLIZAR")))</x:f>
      </x:c>
      <x:c r="N18" s="41" t="str">
        <x:f>IF(D18="","",D18-$D$8)</x:f>
      </x:c>
      <x:c r="O18" s="46" t="str">
        <x:f>IF(D18="","",MAX(0,MIN(1,N18/Configuracion!$B$10)))</x:f>
      </x:c>
    </x:row>
    <x:row r="19">
      <x:c r="A19" s="34"/>
      <x:c r="B19" s="36"/>
      <x:c r="C19" s="72"/>
      <x:c r="D19" s="71"/>
      <x:c r="E19" s="41" t="str">
        <x:f>IF(D19="","",D19+273.15)</x:f>
      </x:c>
      <x:c r="F19" s="44" t="str">
        <x:f>IF(OR(C19="",D19="",C18=""),"",(C19-C18)/60)</x:f>
      </x:c>
      <x:c r="G19" s="44" t="str">
        <x:f>IF(D19="","",EXP(-Configuracion!$B$4/Configuracion!$B$5*(1/AVERAGE(E18:E19)-1/(Configuracion!$B$3+273.15))))</x:f>
      </x:c>
      <x:c r="H19" s="44" t="str">
        <x:f>IF(D19="","",F19*G19)</x:f>
      </x:c>
      <x:c r="I19" s="44" t="str">
        <x:f>IF(D19="","",I18+H19)</x:f>
      </x:c>
      <x:c r="J19" s="46" t="str">
        <x:f>IF(D19="","",MIN(1,I19/Configuracion!$B$11))</x:f>
      </x:c>
      <x:c r="K19" s="48" t="str">
        <x:f>IF(D19="","",MAX(0,(Configuracion!$B$11-I19)/G19))</x:f>
      </x:c>
      <x:c r="L19" s="73" t="str">
        <x:f>IF(D19="","",C19+K19*60)</x:f>
      </x:c>
      <x:c r="M19" t="str">
        <x:f>IF(D19="","",IF(J19&gt;=Configuracion!$B$13,"DESLIZAR",IF(J19&gt;=Configuracion!$B$12,"PREPARARSE","NO DESLIZAR")))</x:f>
      </x:c>
      <x:c r="N19" s="41" t="str">
        <x:f>IF(D19="","",D19-$D$8)</x:f>
      </x:c>
      <x:c r="O19" s="46" t="str">
        <x:f>IF(D19="","",MAX(0,MIN(1,N19/Configuracion!$B$10)))</x:f>
      </x:c>
    </x:row>
    <x:row r="20">
      <x:c r="A20" s="34"/>
      <x:c r="B20" s="36"/>
      <x:c r="C20" s="72"/>
      <x:c r="D20" s="71"/>
      <x:c r="E20" s="41" t="str">
        <x:f>IF(D20="","",D20+273.15)</x:f>
      </x:c>
      <x:c r="F20" s="44" t="str">
        <x:f>IF(OR(C20="",D20="",C19=""),"",(C20-C19)/60)</x:f>
      </x:c>
      <x:c r="G20" s="44" t="str">
        <x:f>IF(D20="","",EXP(-Configuracion!$B$4/Configuracion!$B$5*(1/AVERAGE(E19:E20)-1/(Configuracion!$B$3+273.15))))</x:f>
      </x:c>
      <x:c r="H20" s="44" t="str">
        <x:f>IF(D20="","",F20*G20)</x:f>
      </x:c>
      <x:c r="I20" s="44" t="str">
        <x:f>IF(D20="","",I19+H20)</x:f>
      </x:c>
      <x:c r="J20" s="46" t="str">
        <x:f>IF(D20="","",MIN(1,I20/Configuracion!$B$11))</x:f>
      </x:c>
      <x:c r="K20" s="48" t="str">
        <x:f>IF(D20="","",MAX(0,(Configuracion!$B$11-I20)/G20))</x:f>
      </x:c>
      <x:c r="L20" s="73" t="str">
        <x:f>IF(D20="","",C20+K20*60)</x:f>
      </x:c>
      <x:c r="M20" t="str">
        <x:f>IF(D20="","",IF(J20&gt;=Configuracion!$B$13,"DESLIZAR",IF(J20&gt;=Configuracion!$B$12,"PREPARARSE","NO DESLIZAR")))</x:f>
      </x:c>
      <x:c r="N20" s="41" t="str">
        <x:f>IF(D20="","",D20-$D$8)</x:f>
      </x:c>
      <x:c r="O20" s="46" t="str">
        <x:f>IF(D20="","",MAX(0,MIN(1,N20/Configuracion!$B$10)))</x:f>
      </x:c>
    </x:row>
    <x:row r="21">
      <x:c r="A21" s="34"/>
      <x:c r="B21" s="36"/>
      <x:c r="C21" s="72"/>
      <x:c r="D21" s="71"/>
      <x:c r="E21" s="41" t="str">
        <x:f>IF(D21="","",D21+273.15)</x:f>
      </x:c>
      <x:c r="F21" s="44" t="str">
        <x:f>IF(OR(C21="",D21="",C20=""),"",(C21-C20)/60)</x:f>
      </x:c>
      <x:c r="G21" s="44" t="str">
        <x:f>IF(D21="","",EXP(-Configuracion!$B$4/Configuracion!$B$5*(1/AVERAGE(E20:E21)-1/(Configuracion!$B$3+273.15))))</x:f>
      </x:c>
      <x:c r="H21" s="44" t="str">
        <x:f>IF(D21="","",F21*G21)</x:f>
      </x:c>
      <x:c r="I21" s="44" t="str">
        <x:f>IF(D21="","",I20+H21)</x:f>
      </x:c>
      <x:c r="J21" s="46" t="str">
        <x:f>IF(D21="","",MIN(1,I21/Configuracion!$B$11))</x:f>
      </x:c>
      <x:c r="K21" s="48" t="str">
        <x:f>IF(D21="","",MAX(0,(Configuracion!$B$11-I21)/G21))</x:f>
      </x:c>
      <x:c r="L21" s="73" t="str">
        <x:f>IF(D21="","",C21+K21*60)</x:f>
      </x:c>
      <x:c r="M21" t="str">
        <x:f>IF(D21="","",IF(J21&gt;=Configuracion!$B$13,"DESLIZAR",IF(J21&gt;=Configuracion!$B$12,"PREPARARSE","NO DESLIZAR")))</x:f>
      </x:c>
      <x:c r="N21" s="41" t="str">
        <x:f>IF(D21="","",D21-$D$8)</x:f>
      </x:c>
      <x:c r="O21" s="46" t="str">
        <x:f>IF(D21="","",MAX(0,MIN(1,N21/Configuracion!$B$10)))</x:f>
      </x:c>
    </x:row>
    <x:row r="22">
      <x:c r="A22" s="34"/>
      <x:c r="B22" s="36"/>
      <x:c r="C22" s="72"/>
      <x:c r="D22" s="71"/>
      <x:c r="E22" s="41" t="str">
        <x:f>IF(D22="","",D22+273.15)</x:f>
      </x:c>
      <x:c r="F22" s="44" t="str">
        <x:f>IF(OR(C22="",D22="",C21=""),"",(C22-C21)/60)</x:f>
      </x:c>
      <x:c r="G22" s="44" t="str">
        <x:f>IF(D22="","",EXP(-Configuracion!$B$4/Configuracion!$B$5*(1/AVERAGE(E21:E22)-1/(Configuracion!$B$3+273.15))))</x:f>
      </x:c>
      <x:c r="H22" s="44" t="str">
        <x:f>IF(D22="","",F22*G22)</x:f>
      </x:c>
      <x:c r="I22" s="44" t="str">
        <x:f>IF(D22="","",I21+H22)</x:f>
      </x:c>
      <x:c r="J22" s="46" t="str">
        <x:f>IF(D22="","",MIN(1,I22/Configuracion!$B$11))</x:f>
      </x:c>
      <x:c r="K22" s="48" t="str">
        <x:f>IF(D22="","",MAX(0,(Configuracion!$B$11-I22)/G22))</x:f>
      </x:c>
      <x:c r="L22" s="73" t="str">
        <x:f>IF(D22="","",C22+K22*60)</x:f>
      </x:c>
      <x:c r="M22" t="str">
        <x:f>IF(D22="","",IF(J22&gt;=Configuracion!$B$13,"DESLIZAR",IF(J22&gt;=Configuracion!$B$12,"PREPARARSE","NO DESLIZAR")))</x:f>
      </x:c>
      <x:c r="N22" s="41" t="str">
        <x:f>IF(D22="","",D22-$D$8)</x:f>
      </x:c>
      <x:c r="O22" s="46" t="str">
        <x:f>IF(D22="","",MAX(0,MIN(1,N22/Configuracion!$B$10)))</x:f>
      </x:c>
    </x:row>
    <x:row r="23">
      <x:c r="A23" s="34"/>
      <x:c r="B23" s="36"/>
      <x:c r="C23" s="72"/>
      <x:c r="D23" s="71"/>
      <x:c r="E23" s="41" t="str">
        <x:f>IF(D23="","",D23+273.15)</x:f>
      </x:c>
      <x:c r="F23" s="44" t="str">
        <x:f>IF(OR(C23="",D23="",C22=""),"",(C23-C22)/60)</x:f>
      </x:c>
      <x:c r="G23" s="44" t="str">
        <x:f>IF(D23="","",EXP(-Configuracion!$B$4/Configuracion!$B$5*(1/AVERAGE(E22:E23)-1/(Configuracion!$B$3+273.15))))</x:f>
      </x:c>
      <x:c r="H23" s="44" t="str">
        <x:f>IF(D23="","",F23*G23)</x:f>
      </x:c>
      <x:c r="I23" s="44" t="str">
        <x:f>IF(D23="","",I22+H23)</x:f>
      </x:c>
      <x:c r="J23" s="46" t="str">
        <x:f>IF(D23="","",MIN(1,I23/Configuracion!$B$11))</x:f>
      </x:c>
      <x:c r="K23" s="48" t="str">
        <x:f>IF(D23="","",MAX(0,(Configuracion!$B$11-I23)/G23))</x:f>
      </x:c>
      <x:c r="L23" s="73" t="str">
        <x:f>IF(D23="","",C23+K23*60)</x:f>
      </x:c>
      <x:c r="M23" t="str">
        <x:f>IF(D23="","",IF(J23&gt;=Configuracion!$B$13,"DESLIZAR",IF(J23&gt;=Configuracion!$B$12,"PREPARARSE","NO DESLIZAR")))</x:f>
      </x:c>
      <x:c r="N23" s="41" t="str">
        <x:f>IF(D23="","",D23-$D$8)</x:f>
      </x:c>
      <x:c r="O23" s="46" t="str">
        <x:f>IF(D23="","",MAX(0,MIN(1,N23/Configuracion!$B$10)))</x:f>
      </x:c>
    </x:row>
    <x:row r="24">
      <x:c r="A24" s="34"/>
      <x:c r="B24" s="36"/>
      <x:c r="C24" s="72"/>
      <x:c r="D24" s="71"/>
      <x:c r="E24" s="41" t="str">
        <x:f>IF(D24="","",D24+273.15)</x:f>
      </x:c>
      <x:c r="F24" s="44" t="str">
        <x:f>IF(OR(C24="",D24="",C23=""),"",(C24-C23)/60)</x:f>
      </x:c>
      <x:c r="G24" s="44" t="str">
        <x:f>IF(D24="","",EXP(-Configuracion!$B$4/Configuracion!$B$5*(1/AVERAGE(E23:E24)-1/(Configuracion!$B$3+273.15))))</x:f>
      </x:c>
      <x:c r="H24" s="44" t="str">
        <x:f>IF(D24="","",F24*G24)</x:f>
      </x:c>
      <x:c r="I24" s="44" t="str">
        <x:f>IF(D24="","",I23+H24)</x:f>
      </x:c>
      <x:c r="J24" s="46" t="str">
        <x:f>IF(D24="","",MIN(1,I24/Configuracion!$B$11))</x:f>
      </x:c>
      <x:c r="K24" s="48" t="str">
        <x:f>IF(D24="","",MAX(0,(Configuracion!$B$11-I24)/G24))</x:f>
      </x:c>
      <x:c r="L24" s="73" t="str">
        <x:f>IF(D24="","",C24+K24*60)</x:f>
      </x:c>
      <x:c r="M24" t="str">
        <x:f>IF(D24="","",IF(J24&gt;=Configuracion!$B$13,"DESLIZAR",IF(J24&gt;=Configuracion!$B$12,"PREPARARSE","NO DESLIZAR")))</x:f>
      </x:c>
      <x:c r="N24" s="41" t="str">
        <x:f>IF(D24="","",D24-$D$8)</x:f>
      </x:c>
      <x:c r="O24" s="46" t="str">
        <x:f>IF(D24="","",MAX(0,MIN(1,N24/Configuracion!$B$10)))</x:f>
      </x:c>
    </x:row>
    <x:row r="25">
      <x:c r="A25" s="34"/>
      <x:c r="B25" s="36"/>
      <x:c r="C25" s="72"/>
      <x:c r="D25" s="71"/>
      <x:c r="E25" s="41" t="str">
        <x:f>IF(D25="","",D25+273.15)</x:f>
      </x:c>
      <x:c r="F25" s="44" t="str">
        <x:f>IF(OR(C25="",D25="",C24=""),"",(C25-C24)/60)</x:f>
      </x:c>
      <x:c r="G25" s="44" t="str">
        <x:f>IF(D25="","",EXP(-Configuracion!$B$4/Configuracion!$B$5*(1/AVERAGE(E24:E25)-1/(Configuracion!$B$3+273.15))))</x:f>
      </x:c>
      <x:c r="H25" s="44" t="str">
        <x:f>IF(D25="","",F25*G25)</x:f>
      </x:c>
      <x:c r="I25" s="44" t="str">
        <x:f>IF(D25="","",I24+H25)</x:f>
      </x:c>
      <x:c r="J25" s="46" t="str">
        <x:f>IF(D25="","",MIN(1,I25/Configuracion!$B$11))</x:f>
      </x:c>
      <x:c r="K25" s="48" t="str">
        <x:f>IF(D25="","",MAX(0,(Configuracion!$B$11-I25)/G25))</x:f>
      </x:c>
      <x:c r="L25" s="73" t="str">
        <x:f>IF(D25="","",C25+K25*60)</x:f>
      </x:c>
      <x:c r="M25" t="str">
        <x:f>IF(D25="","",IF(J25&gt;=Configuracion!$B$13,"DESLIZAR",IF(J25&gt;=Configuracion!$B$12,"PREPARARSE","NO DESLIZAR")))</x:f>
      </x:c>
      <x:c r="N25" s="41" t="str">
        <x:f>IF(D25="","",D25-$D$8)</x:f>
      </x:c>
      <x:c r="O25" s="46" t="str">
        <x:f>IF(D25="","",MAX(0,MIN(1,N25/Configuracion!$B$10)))</x:f>
      </x:c>
    </x:row>
    <x:row r="26">
      <x:c r="A26" s="34"/>
      <x:c r="B26" s="36"/>
      <x:c r="C26" s="72"/>
      <x:c r="D26" s="71"/>
      <x:c r="E26" s="41" t="str">
        <x:f>IF(D26="","",D26+273.15)</x:f>
      </x:c>
      <x:c r="F26" s="44" t="str">
        <x:f>IF(OR(C26="",D26="",C25=""),"",(C26-C25)/60)</x:f>
      </x:c>
      <x:c r="G26" s="44" t="str">
        <x:f>IF(D26="","",EXP(-Configuracion!$B$4/Configuracion!$B$5*(1/AVERAGE(E25:E26)-1/(Configuracion!$B$3+273.15))))</x:f>
      </x:c>
      <x:c r="H26" s="44" t="str">
        <x:f>IF(D26="","",F26*G26)</x:f>
      </x:c>
      <x:c r="I26" s="44" t="str">
        <x:f>IF(D26="","",I25+H26)</x:f>
      </x:c>
      <x:c r="J26" s="46" t="str">
        <x:f>IF(D26="","",MIN(1,I26/Configuracion!$B$11))</x:f>
      </x:c>
      <x:c r="K26" s="48" t="str">
        <x:f>IF(D26="","",MAX(0,(Configuracion!$B$11-I26)/G26))</x:f>
      </x:c>
      <x:c r="L26" s="73" t="str">
        <x:f>IF(D26="","",C26+K26*60)</x:f>
      </x:c>
      <x:c r="M26" t="str">
        <x:f>IF(D26="","",IF(J26&gt;=Configuracion!$B$13,"DESLIZAR",IF(J26&gt;=Configuracion!$B$12,"PREPARARSE","NO DESLIZAR")))</x:f>
      </x:c>
      <x:c r="N26" s="41" t="str">
        <x:f>IF(D26="","",D26-$D$8)</x:f>
      </x:c>
      <x:c r="O26" s="46" t="str">
        <x:f>IF(D26="","",MAX(0,MIN(1,N26/Configuracion!$B$10)))</x:f>
      </x:c>
    </x:row>
    <x:row r="27">
      <x:c r="A27" s="34"/>
      <x:c r="B27" s="36"/>
      <x:c r="C27" s="72"/>
      <x:c r="D27" s="71"/>
      <x:c r="E27" s="41" t="str">
        <x:f>IF(D27="","",D27+273.15)</x:f>
      </x:c>
      <x:c r="F27" s="44" t="str">
        <x:f>IF(OR(C27="",D27="",C26=""),"",(C27-C26)/60)</x:f>
      </x:c>
      <x:c r="G27" s="44" t="str">
        <x:f>IF(D27="","",EXP(-Configuracion!$B$4/Configuracion!$B$5*(1/AVERAGE(E26:E27)-1/(Configuracion!$B$3+273.15))))</x:f>
      </x:c>
      <x:c r="H27" s="44" t="str">
        <x:f>IF(D27="","",F27*G27)</x:f>
      </x:c>
      <x:c r="I27" s="44" t="str">
        <x:f>IF(D27="","",I26+H27)</x:f>
      </x:c>
      <x:c r="J27" s="46" t="str">
        <x:f>IF(D27="","",MIN(1,I27/Configuracion!$B$11))</x:f>
      </x:c>
      <x:c r="K27" s="48" t="str">
        <x:f>IF(D27="","",MAX(0,(Configuracion!$B$11-I27)/G27))</x:f>
      </x:c>
      <x:c r="L27" s="73" t="str">
        <x:f>IF(D27="","",C27+K27*60)</x:f>
      </x:c>
      <x:c r="M27" t="str">
        <x:f>IF(D27="","",IF(J27&gt;=Configuracion!$B$13,"DESLIZAR",IF(J27&gt;=Configuracion!$B$12,"PREPARARSE","NO DESLIZAR")))</x:f>
      </x:c>
      <x:c r="N27" s="41" t="str">
        <x:f>IF(D27="","",D27-$D$8)</x:f>
      </x:c>
      <x:c r="O27" s="46" t="str">
        <x:f>IF(D27="","",MAX(0,MIN(1,N27/Configuracion!$B$10)))</x:f>
      </x:c>
    </x:row>
    <x:row r="28">
      <x:c r="A28" s="34"/>
      <x:c r="B28" s="36"/>
      <x:c r="C28" s="72"/>
      <x:c r="D28" s="71"/>
      <x:c r="E28" s="41" t="str">
        <x:f>IF(D28="","",D28+273.15)</x:f>
      </x:c>
      <x:c r="F28" s="44" t="str">
        <x:f>IF(OR(C28="",D28="",C27=""),"",(C28-C27)/60)</x:f>
      </x:c>
      <x:c r="G28" s="44" t="str">
        <x:f>IF(D28="","",EXP(-Configuracion!$B$4/Configuracion!$B$5*(1/AVERAGE(E27:E28)-1/(Configuracion!$B$3+273.15))))</x:f>
      </x:c>
      <x:c r="H28" s="44" t="str">
        <x:f>IF(D28="","",F28*G28)</x:f>
      </x:c>
      <x:c r="I28" s="44" t="str">
        <x:f>IF(D28="","",I27+H28)</x:f>
      </x:c>
      <x:c r="J28" s="46" t="str">
        <x:f>IF(D28="","",MIN(1,I28/Configuracion!$B$11))</x:f>
      </x:c>
      <x:c r="K28" s="48" t="str">
        <x:f>IF(D28="","",MAX(0,(Configuracion!$B$11-I28)/G28))</x:f>
      </x:c>
      <x:c r="L28" s="73" t="str">
        <x:f>IF(D28="","",C28+K28*60)</x:f>
      </x:c>
      <x:c r="M28" t="str">
        <x:f>IF(D28="","",IF(J28&gt;=Configuracion!$B$13,"DESLIZAR",IF(J28&gt;=Configuracion!$B$12,"PREPARARSE","NO DESLIZAR")))</x:f>
      </x:c>
      <x:c r="N28" s="41" t="str">
        <x:f>IF(D28="","",D28-$D$8)</x:f>
      </x:c>
      <x:c r="O28" s="46" t="str">
        <x:f>IF(D28="","",MAX(0,MIN(1,N28/Configuracion!$B$10)))</x:f>
      </x:c>
    </x:row>
    <x:row r="29">
      <x:c r="A29" s="34"/>
      <x:c r="B29" s="36"/>
      <x:c r="C29" s="72"/>
      <x:c r="D29" s="71"/>
      <x:c r="E29" s="41" t="str">
        <x:f>IF(D29="","",D29+273.15)</x:f>
      </x:c>
      <x:c r="F29" s="44" t="str">
        <x:f>IF(OR(C29="",D29="",C28=""),"",(C29-C28)/60)</x:f>
      </x:c>
      <x:c r="G29" s="44" t="str">
        <x:f>IF(D29="","",EXP(-Configuracion!$B$4/Configuracion!$B$5*(1/AVERAGE(E28:E29)-1/(Configuracion!$B$3+273.15))))</x:f>
      </x:c>
      <x:c r="H29" s="44" t="str">
        <x:f>IF(D29="","",F29*G29)</x:f>
      </x:c>
      <x:c r="I29" s="44" t="str">
        <x:f>IF(D29="","",I28+H29)</x:f>
      </x:c>
      <x:c r="J29" s="46" t="str">
        <x:f>IF(D29="","",MIN(1,I29/Configuracion!$B$11))</x:f>
      </x:c>
      <x:c r="K29" s="48" t="str">
        <x:f>IF(D29="","",MAX(0,(Configuracion!$B$11-I29)/G29))</x:f>
      </x:c>
      <x:c r="L29" s="73" t="str">
        <x:f>IF(D29="","",C29+K29*60)</x:f>
      </x:c>
      <x:c r="M29" t="str">
        <x:f>IF(D29="","",IF(J29&gt;=Configuracion!$B$13,"DESLIZAR",IF(J29&gt;=Configuracion!$B$12,"PREPARARSE","NO DESLIZAR")))</x:f>
      </x:c>
      <x:c r="N29" s="41" t="str">
        <x:f>IF(D29="","",D29-$D$8)</x:f>
      </x:c>
      <x:c r="O29" s="46" t="str">
        <x:f>IF(D29="","",MAX(0,MIN(1,N29/Configuracion!$B$10)))</x:f>
      </x:c>
    </x:row>
    <x:row r="30">
      <x:c r="A30" s="34"/>
      <x:c r="B30" s="36"/>
      <x:c r="C30" s="72"/>
      <x:c r="D30" s="71"/>
      <x:c r="E30" s="41" t="str">
        <x:f>IF(D30="","",D30+273.15)</x:f>
      </x:c>
      <x:c r="F30" s="44" t="str">
        <x:f>IF(OR(C30="",D30="",C29=""),"",(C30-C29)/60)</x:f>
      </x:c>
      <x:c r="G30" s="44" t="str">
        <x:f>IF(D30="","",EXP(-Configuracion!$B$4/Configuracion!$B$5*(1/AVERAGE(E29:E30)-1/(Configuracion!$B$3+273.15))))</x:f>
      </x:c>
      <x:c r="H30" s="44" t="str">
        <x:f>IF(D30="","",F30*G30)</x:f>
      </x:c>
      <x:c r="I30" s="44" t="str">
        <x:f>IF(D30="","",I29+H30)</x:f>
      </x:c>
      <x:c r="J30" s="46" t="str">
        <x:f>IF(D30="","",MIN(1,I30/Configuracion!$B$11))</x:f>
      </x:c>
      <x:c r="K30" s="48" t="str">
        <x:f>IF(D30="","",MAX(0,(Configuracion!$B$11-I30)/G30))</x:f>
      </x:c>
      <x:c r="L30" s="73" t="str">
        <x:f>IF(D30="","",C30+K30*60)</x:f>
      </x:c>
      <x:c r="M30" t="str">
        <x:f>IF(D30="","",IF(J30&gt;=Configuracion!$B$13,"DESLIZAR",IF(J30&gt;=Configuracion!$B$12,"PREPARARSE","NO DESLIZAR")))</x:f>
      </x:c>
      <x:c r="N30" s="41" t="str">
        <x:f>IF(D30="","",D30-$D$8)</x:f>
      </x:c>
      <x:c r="O30" s="46" t="str">
        <x:f>IF(D30="","",MAX(0,MIN(1,N30/Configuracion!$B$10)))</x:f>
      </x:c>
    </x:row>
    <x:row r="31">
      <x:c r="A31" s="34"/>
      <x:c r="B31" s="36"/>
      <x:c r="C31" s="72"/>
      <x:c r="D31" s="71"/>
      <x:c r="E31" s="41" t="str">
        <x:f>IF(D31="","",D31+273.15)</x:f>
      </x:c>
      <x:c r="F31" s="44" t="str">
        <x:f>IF(OR(C31="",D31="",C30=""),"",(C31-C30)/60)</x:f>
      </x:c>
      <x:c r="G31" s="44" t="str">
        <x:f>IF(D31="","",EXP(-Configuracion!$B$4/Configuracion!$B$5*(1/AVERAGE(E30:E31)-1/(Configuracion!$B$3+273.15))))</x:f>
      </x:c>
      <x:c r="H31" s="44" t="str">
        <x:f>IF(D31="","",F31*G31)</x:f>
      </x:c>
      <x:c r="I31" s="44" t="str">
        <x:f>IF(D31="","",I30+H31)</x:f>
      </x:c>
      <x:c r="J31" s="46" t="str">
        <x:f>IF(D31="","",MIN(1,I31/Configuracion!$B$11))</x:f>
      </x:c>
      <x:c r="K31" s="48" t="str">
        <x:f>IF(D31="","",MAX(0,(Configuracion!$B$11-I31)/G31))</x:f>
      </x:c>
      <x:c r="L31" s="73" t="str">
        <x:f>IF(D31="","",C31+K31*60)</x:f>
      </x:c>
      <x:c r="M31" t="str">
        <x:f>IF(D31="","",IF(J31&gt;=Configuracion!$B$13,"DESLIZAR",IF(J31&gt;=Configuracion!$B$12,"PREPARARSE","NO DESLIZAR")))</x:f>
      </x:c>
      <x:c r="N31" s="41" t="str">
        <x:f>IF(D31="","",D31-$D$8)</x:f>
      </x:c>
      <x:c r="O31" s="46" t="str">
        <x:f>IF(D31="","",MAX(0,MIN(1,N31/Configuracion!$B$10)))</x:f>
      </x:c>
    </x:row>
    <x:row r="32">
      <x:c r="A32" s="34"/>
      <x:c r="B32" s="36"/>
      <x:c r="C32" s="72"/>
      <x:c r="D32" s="71"/>
      <x:c r="E32" s="41" t="str">
        <x:f>IF(D32="","",D32+273.15)</x:f>
      </x:c>
      <x:c r="F32" s="44" t="str">
        <x:f>IF(OR(C32="",D32="",C31=""),"",(C32-C31)/60)</x:f>
      </x:c>
      <x:c r="G32" s="44" t="str">
        <x:f>IF(D32="","",EXP(-Configuracion!$B$4/Configuracion!$B$5*(1/AVERAGE(E31:E32)-1/(Configuracion!$B$3+273.15))))</x:f>
      </x:c>
      <x:c r="H32" s="44" t="str">
        <x:f>IF(D32="","",F32*G32)</x:f>
      </x:c>
      <x:c r="I32" s="44" t="str">
        <x:f>IF(D32="","",I31+H32)</x:f>
      </x:c>
      <x:c r="J32" s="46" t="str">
        <x:f>IF(D32="","",MIN(1,I32/Configuracion!$B$11))</x:f>
      </x:c>
      <x:c r="K32" s="48" t="str">
        <x:f>IF(D32="","",MAX(0,(Configuracion!$B$11-I32)/G32))</x:f>
      </x:c>
      <x:c r="L32" s="73" t="str">
        <x:f>IF(D32="","",C32+K32*60)</x:f>
      </x:c>
      <x:c r="M32" t="str">
        <x:f>IF(D32="","",IF(J32&gt;=Configuracion!$B$13,"DESLIZAR",IF(J32&gt;=Configuracion!$B$12,"PREPARARSE","NO DESLIZAR")))</x:f>
      </x:c>
      <x:c r="N32" s="41" t="str">
        <x:f>IF(D32="","",D32-$D$8)</x:f>
      </x:c>
      <x:c r="O32" s="46" t="str">
        <x:f>IF(D32="","",MAX(0,MIN(1,N32/Configuracion!$B$10)))</x:f>
      </x:c>
    </x:row>
    <x:row r="33">
      <x:c r="A33" s="34"/>
      <x:c r="B33" s="36"/>
      <x:c r="C33" s="72"/>
      <x:c r="D33" s="71"/>
      <x:c r="E33" s="41" t="str">
        <x:f>IF(D33="","",D33+273.15)</x:f>
      </x:c>
      <x:c r="F33" s="44" t="str">
        <x:f>IF(OR(C33="",D33="",C32=""),"",(C33-C32)/60)</x:f>
      </x:c>
      <x:c r="G33" s="44" t="str">
        <x:f>IF(D33="","",EXP(-Configuracion!$B$4/Configuracion!$B$5*(1/AVERAGE(E32:E33)-1/(Configuracion!$B$3+273.15))))</x:f>
      </x:c>
      <x:c r="H33" s="44" t="str">
        <x:f>IF(D33="","",F33*G33)</x:f>
      </x:c>
      <x:c r="I33" s="44" t="str">
        <x:f>IF(D33="","",I32+H33)</x:f>
      </x:c>
      <x:c r="J33" s="46" t="str">
        <x:f>IF(D33="","",MIN(1,I33/Configuracion!$B$11))</x:f>
      </x:c>
      <x:c r="K33" s="48" t="str">
        <x:f>IF(D33="","",MAX(0,(Configuracion!$B$11-I33)/G33))</x:f>
      </x:c>
      <x:c r="L33" s="73" t="str">
        <x:f>IF(D33="","",C33+K33*60)</x:f>
      </x:c>
      <x:c r="M33" t="str">
        <x:f>IF(D33="","",IF(J33&gt;=Configuracion!$B$13,"DESLIZAR",IF(J33&gt;=Configuracion!$B$12,"PREPARARSE","NO DESLIZAR")))</x:f>
      </x:c>
      <x:c r="N33" s="41" t="str">
        <x:f>IF(D33="","",D33-$D$8)</x:f>
      </x:c>
      <x:c r="O33" s="46" t="str">
        <x:f>IF(D33="","",MAX(0,MIN(1,N33/Configuracion!$B$10)))</x:f>
      </x:c>
    </x:row>
    <x:row r="34">
      <x:c r="A34" s="34"/>
      <x:c r="B34" s="36"/>
      <x:c r="C34" s="72"/>
      <x:c r="D34" s="71"/>
      <x:c r="E34" s="41" t="str">
        <x:f>IF(D34="","",D34+273.15)</x:f>
      </x:c>
      <x:c r="F34" s="44" t="str">
        <x:f>IF(OR(C34="",D34="",C33=""),"",(C34-C33)/60)</x:f>
      </x:c>
      <x:c r="G34" s="44" t="str">
        <x:f>IF(D34="","",EXP(-Configuracion!$B$4/Configuracion!$B$5*(1/AVERAGE(E33:E34)-1/(Configuracion!$B$3+273.15))))</x:f>
      </x:c>
      <x:c r="H34" s="44" t="str">
        <x:f>IF(D34="","",F34*G34)</x:f>
      </x:c>
      <x:c r="I34" s="44" t="str">
        <x:f>IF(D34="","",I33+H34)</x:f>
      </x:c>
      <x:c r="J34" s="46" t="str">
        <x:f>IF(D34="","",MIN(1,I34/Configuracion!$B$11))</x:f>
      </x:c>
      <x:c r="K34" s="48" t="str">
        <x:f>IF(D34="","",MAX(0,(Configuracion!$B$11-I34)/G34))</x:f>
      </x:c>
      <x:c r="L34" s="73" t="str">
        <x:f>IF(D34="","",C34+K34*60)</x:f>
      </x:c>
      <x:c r="M34" t="str">
        <x:f>IF(D34="","",IF(J34&gt;=Configuracion!$B$13,"DESLIZAR",IF(J34&gt;=Configuracion!$B$12,"PREPARARSE","NO DESLIZAR")))</x:f>
      </x:c>
      <x:c r="N34" s="41" t="str">
        <x:f>IF(D34="","",D34-$D$8)</x:f>
      </x:c>
      <x:c r="O34" s="46" t="str">
        <x:f>IF(D34="","",MAX(0,MIN(1,N34/Configuracion!$B$10)))</x:f>
      </x:c>
    </x:row>
    <x:row r="35">
      <x:c r="A35" s="34"/>
      <x:c r="B35" s="36"/>
      <x:c r="C35" s="72"/>
      <x:c r="D35" s="71"/>
      <x:c r="E35" s="41" t="str">
        <x:f>IF(D35="","",D35+273.15)</x:f>
      </x:c>
      <x:c r="F35" s="44" t="str">
        <x:f>IF(OR(C35="",D35="",C34=""),"",(C35-C34)/60)</x:f>
      </x:c>
      <x:c r="G35" s="44" t="str">
        <x:f>IF(D35="","",EXP(-Configuracion!$B$4/Configuracion!$B$5*(1/AVERAGE(E34:E35)-1/(Configuracion!$B$3+273.15))))</x:f>
      </x:c>
      <x:c r="H35" s="44" t="str">
        <x:f>IF(D35="","",F35*G35)</x:f>
      </x:c>
      <x:c r="I35" s="44" t="str">
        <x:f>IF(D35="","",I34+H35)</x:f>
      </x:c>
      <x:c r="J35" s="46" t="str">
        <x:f>IF(D35="","",MIN(1,I35/Configuracion!$B$11))</x:f>
      </x:c>
      <x:c r="K35" s="48" t="str">
        <x:f>IF(D35="","",MAX(0,(Configuracion!$B$11-I35)/G35))</x:f>
      </x:c>
      <x:c r="L35" s="73" t="str">
        <x:f>IF(D35="","",C35+K35*60)</x:f>
      </x:c>
      <x:c r="M35" t="str">
        <x:f>IF(D35="","",IF(J35&gt;=Configuracion!$B$13,"DESLIZAR",IF(J35&gt;=Configuracion!$B$12,"PREPARARSE","NO DESLIZAR")))</x:f>
      </x:c>
      <x:c r="N35" s="41" t="str">
        <x:f>IF(D35="","",D35-$D$8)</x:f>
      </x:c>
      <x:c r="O35" s="46" t="str">
        <x:f>IF(D35="","",MAX(0,MIN(1,N35/Configuracion!$B$10)))</x:f>
      </x:c>
    </x:row>
    <x:row r="36">
      <x:c r="A36" s="34"/>
      <x:c r="B36" s="36"/>
      <x:c r="C36" s="72"/>
      <x:c r="D36" s="71"/>
      <x:c r="E36" s="41" t="str">
        <x:f>IF(D36="","",D36+273.15)</x:f>
      </x:c>
      <x:c r="F36" s="44" t="str">
        <x:f>IF(OR(C36="",D36="",C35=""),"",(C36-C35)/60)</x:f>
      </x:c>
      <x:c r="G36" s="44" t="str">
        <x:f>IF(D36="","",EXP(-Configuracion!$B$4/Configuracion!$B$5*(1/AVERAGE(E35:E36)-1/(Configuracion!$B$3+273.15))))</x:f>
      </x:c>
      <x:c r="H36" s="44" t="str">
        <x:f>IF(D36="","",F36*G36)</x:f>
      </x:c>
      <x:c r="I36" s="44" t="str">
        <x:f>IF(D36="","",I35+H36)</x:f>
      </x:c>
      <x:c r="J36" s="46" t="str">
        <x:f>IF(D36="","",MIN(1,I36/Configuracion!$B$11))</x:f>
      </x:c>
      <x:c r="K36" s="48" t="str">
        <x:f>IF(D36="","",MAX(0,(Configuracion!$B$11-I36)/G36))</x:f>
      </x:c>
      <x:c r="L36" s="73" t="str">
        <x:f>IF(D36="","",C36+K36*60)</x:f>
      </x:c>
      <x:c r="M36" t="str">
        <x:f>IF(D36="","",IF(J36&gt;=Configuracion!$B$13,"DESLIZAR",IF(J36&gt;=Configuracion!$B$12,"PREPARARSE","NO DESLIZAR")))</x:f>
      </x:c>
      <x:c r="N36" s="41" t="str">
        <x:f>IF(D36="","",D36-$D$8)</x:f>
      </x:c>
      <x:c r="O36" s="46" t="str">
        <x:f>IF(D36="","",MAX(0,MIN(1,N36/Configuracion!$B$10)))</x:f>
      </x:c>
    </x:row>
    <x:row r="37">
      <x:c r="A37" s="34"/>
      <x:c r="B37" s="36"/>
      <x:c r="C37" s="72"/>
      <x:c r="D37" s="71"/>
      <x:c r="E37" s="41" t="str">
        <x:f>IF(D37="","",D37+273.15)</x:f>
      </x:c>
      <x:c r="F37" s="44" t="str">
        <x:f>IF(OR(C37="",D37="",C36=""),"",(C37-C36)/60)</x:f>
      </x:c>
      <x:c r="G37" s="44" t="str">
        <x:f>IF(D37="","",EXP(-Configuracion!$B$4/Configuracion!$B$5*(1/AVERAGE(E36:E37)-1/(Configuracion!$B$3+273.15))))</x:f>
      </x:c>
      <x:c r="H37" s="44" t="str">
        <x:f>IF(D37="","",F37*G37)</x:f>
      </x:c>
      <x:c r="I37" s="44" t="str">
        <x:f>IF(D37="","",I36+H37)</x:f>
      </x:c>
      <x:c r="J37" s="46" t="str">
        <x:f>IF(D37="","",MIN(1,I37/Configuracion!$B$11))</x:f>
      </x:c>
      <x:c r="K37" s="48" t="str">
        <x:f>IF(D37="","",MAX(0,(Configuracion!$B$11-I37)/G37))</x:f>
      </x:c>
      <x:c r="L37" s="73" t="str">
        <x:f>IF(D37="","",C37+K37*60)</x:f>
      </x:c>
      <x:c r="M37" t="str">
        <x:f>IF(D37="","",IF(J37&gt;=Configuracion!$B$13,"DESLIZAR",IF(J37&gt;=Configuracion!$B$12,"PREPARARSE","NO DESLIZAR")))</x:f>
      </x:c>
      <x:c r="N37" s="41" t="str">
        <x:f>IF(D37="","",D37-$D$8)</x:f>
      </x:c>
      <x:c r="O37" s="46" t="str">
        <x:f>IF(D37="","",MAX(0,MIN(1,N37/Configuracion!$B$10)))</x:f>
      </x:c>
    </x:row>
    <x:row r="38">
      <x:c r="A38" s="34"/>
      <x:c r="B38" s="36"/>
      <x:c r="C38" s="72"/>
      <x:c r="D38" s="71"/>
      <x:c r="E38" s="41" t="str">
        <x:f>IF(D38="","",D38+273.15)</x:f>
      </x:c>
      <x:c r="F38" s="44" t="str">
        <x:f>IF(OR(C38="",D38="",C37=""),"",(C38-C37)/60)</x:f>
      </x:c>
      <x:c r="G38" s="44" t="str">
        <x:f>IF(D38="","",EXP(-Configuracion!$B$4/Configuracion!$B$5*(1/AVERAGE(E37:E38)-1/(Configuracion!$B$3+273.15))))</x:f>
      </x:c>
      <x:c r="H38" s="44" t="str">
        <x:f>IF(D38="","",F38*G38)</x:f>
      </x:c>
      <x:c r="I38" s="44" t="str">
        <x:f>IF(D38="","",I37+H38)</x:f>
      </x:c>
      <x:c r="J38" s="46" t="str">
        <x:f>IF(D38="","",MIN(1,I38/Configuracion!$B$11))</x:f>
      </x:c>
      <x:c r="K38" s="48" t="str">
        <x:f>IF(D38="","",MAX(0,(Configuracion!$B$11-I38)/G38))</x:f>
      </x:c>
      <x:c r="L38" s="73" t="str">
        <x:f>IF(D38="","",C38+K38*60)</x:f>
      </x:c>
      <x:c r="M38" t="str">
        <x:f>IF(D38="","",IF(J38&gt;=Configuracion!$B$13,"DESLIZAR",IF(J38&gt;=Configuracion!$B$12,"PREPARARSE","NO DESLIZAR")))</x:f>
      </x:c>
      <x:c r="N38" s="41" t="str">
        <x:f>IF(D38="","",D38-$D$8)</x:f>
      </x:c>
      <x:c r="O38" s="46" t="str">
        <x:f>IF(D38="","",MAX(0,MIN(1,N38/Configuracion!$B$10)))</x:f>
      </x:c>
    </x:row>
    <x:row r="39">
      <x:c r="A39" s="34"/>
      <x:c r="B39" s="36"/>
      <x:c r="C39" s="72"/>
      <x:c r="D39" s="71"/>
      <x:c r="E39" s="41" t="str">
        <x:f>IF(D39="","",D39+273.15)</x:f>
      </x:c>
      <x:c r="F39" s="44" t="str">
        <x:f>IF(OR(C39="",D39="",C38=""),"",(C39-C38)/60)</x:f>
      </x:c>
      <x:c r="G39" s="44" t="str">
        <x:f>IF(D39="","",EXP(-Configuracion!$B$4/Configuracion!$B$5*(1/AVERAGE(E38:E39)-1/(Configuracion!$B$3+273.15))))</x:f>
      </x:c>
      <x:c r="H39" s="44" t="str">
        <x:f>IF(D39="","",F39*G39)</x:f>
      </x:c>
      <x:c r="I39" s="44" t="str">
        <x:f>IF(D39="","",I38+H39)</x:f>
      </x:c>
      <x:c r="J39" s="46" t="str">
        <x:f>IF(D39="","",MIN(1,I39/Configuracion!$B$11))</x:f>
      </x:c>
      <x:c r="K39" s="48" t="str">
        <x:f>IF(D39="","",MAX(0,(Configuracion!$B$11-I39)/G39))</x:f>
      </x:c>
      <x:c r="L39" s="73" t="str">
        <x:f>IF(D39="","",C39+K39*60)</x:f>
      </x:c>
      <x:c r="M39" t="str">
        <x:f>IF(D39="","",IF(J39&gt;=Configuracion!$B$13,"DESLIZAR",IF(J39&gt;=Configuracion!$B$12,"PREPARARSE","NO DESLIZAR")))</x:f>
      </x:c>
      <x:c r="N39" s="41" t="str">
        <x:f>IF(D39="","",D39-$D$8)</x:f>
      </x:c>
      <x:c r="O39" s="46" t="str">
        <x:f>IF(D39="","",MAX(0,MIN(1,N39/Configuracion!$B$10)))</x:f>
      </x:c>
    </x:row>
    <x:row r="40">
      <x:c r="A40" s="34"/>
      <x:c r="B40" s="36"/>
      <x:c r="C40" s="72"/>
      <x:c r="D40" s="71"/>
      <x:c r="E40" s="41" t="str">
        <x:f>IF(D40="","",D40+273.15)</x:f>
      </x:c>
      <x:c r="F40" s="44" t="str">
        <x:f>IF(OR(C40="",D40="",C39=""),"",(C40-C39)/60)</x:f>
      </x:c>
      <x:c r="G40" s="44" t="str">
        <x:f>IF(D40="","",EXP(-Configuracion!$B$4/Configuracion!$B$5*(1/AVERAGE(E39:E40)-1/(Configuracion!$B$3+273.15))))</x:f>
      </x:c>
      <x:c r="H40" s="44" t="str">
        <x:f>IF(D40="","",F40*G40)</x:f>
      </x:c>
      <x:c r="I40" s="44" t="str">
        <x:f>IF(D40="","",I39+H40)</x:f>
      </x:c>
      <x:c r="J40" s="46" t="str">
        <x:f>IF(D40="","",MIN(1,I40/Configuracion!$B$11))</x:f>
      </x:c>
      <x:c r="K40" s="48" t="str">
        <x:f>IF(D40="","",MAX(0,(Configuracion!$B$11-I40)/G40))</x:f>
      </x:c>
      <x:c r="L40" s="73" t="str">
        <x:f>IF(D40="","",C40+K40*60)</x:f>
      </x:c>
      <x:c r="M40" t="str">
        <x:f>IF(D40="","",IF(J40&gt;=Configuracion!$B$13,"DESLIZAR",IF(J40&gt;=Configuracion!$B$12,"PREPARARSE","NO DESLIZAR")))</x:f>
      </x:c>
      <x:c r="N40" s="41" t="str">
        <x:f>IF(D40="","",D40-$D$8)</x:f>
      </x:c>
      <x:c r="O40" s="46" t="str">
        <x:f>IF(D40="","",MAX(0,MIN(1,N40/Configuracion!$B$10)))</x:f>
      </x:c>
    </x:row>
    <x:row r="41">
      <x:c r="A41" s="34"/>
      <x:c r="B41" s="36"/>
      <x:c r="C41" s="72"/>
      <x:c r="D41" s="71"/>
      <x:c r="E41" s="41" t="str">
        <x:f>IF(D41="","",D41+273.15)</x:f>
      </x:c>
      <x:c r="F41" s="44" t="str">
        <x:f>IF(OR(C41="",D41="",C40=""),"",(C41-C40)/60)</x:f>
      </x:c>
      <x:c r="G41" s="44" t="str">
        <x:f>IF(D41="","",EXP(-Configuracion!$B$4/Configuracion!$B$5*(1/AVERAGE(E40:E41)-1/(Configuracion!$B$3+273.15))))</x:f>
      </x:c>
      <x:c r="H41" s="44" t="str">
        <x:f>IF(D41="","",F41*G41)</x:f>
      </x:c>
      <x:c r="I41" s="44" t="str">
        <x:f>IF(D41="","",I40+H41)</x:f>
      </x:c>
      <x:c r="J41" s="46" t="str">
        <x:f>IF(D41="","",MIN(1,I41/Configuracion!$B$11))</x:f>
      </x:c>
      <x:c r="K41" s="48" t="str">
        <x:f>IF(D41="","",MAX(0,(Configuracion!$B$11-I41)/G41))</x:f>
      </x:c>
      <x:c r="L41" s="73" t="str">
        <x:f>IF(D41="","",C41+K41*60)</x:f>
      </x:c>
      <x:c r="M41" t="str">
        <x:f>IF(D41="","",IF(J41&gt;=Configuracion!$B$13,"DESLIZAR",IF(J41&gt;=Configuracion!$B$12,"PREPARARSE","NO DESLIZAR")))</x:f>
      </x:c>
      <x:c r="N41" s="41" t="str">
        <x:f>IF(D41="","",D41-$D$8)</x:f>
      </x:c>
      <x:c r="O41" s="46" t="str">
        <x:f>IF(D41="","",MAX(0,MIN(1,N41/Configuracion!$B$10)))</x:f>
      </x:c>
    </x:row>
    <x:row r="42">
      <x:c r="A42" s="34"/>
      <x:c r="B42" s="36"/>
      <x:c r="C42" s="72"/>
      <x:c r="D42" s="71"/>
      <x:c r="E42" s="41" t="str">
        <x:f>IF(D42="","",D42+273.15)</x:f>
      </x:c>
      <x:c r="F42" s="44" t="str">
        <x:f>IF(OR(C42="",D42="",C41=""),"",(C42-C41)/60)</x:f>
      </x:c>
      <x:c r="G42" s="44" t="str">
        <x:f>IF(D42="","",EXP(-Configuracion!$B$4/Configuracion!$B$5*(1/AVERAGE(E41:E42)-1/(Configuracion!$B$3+273.15))))</x:f>
      </x:c>
      <x:c r="H42" s="44" t="str">
        <x:f>IF(D42="","",F42*G42)</x:f>
      </x:c>
      <x:c r="I42" s="44" t="str">
        <x:f>IF(D42="","",I41+H42)</x:f>
      </x:c>
      <x:c r="J42" s="46" t="str">
        <x:f>IF(D42="","",MIN(1,I42/Configuracion!$B$11))</x:f>
      </x:c>
      <x:c r="K42" s="48" t="str">
        <x:f>IF(D42="","",MAX(0,(Configuracion!$B$11-I42)/G42))</x:f>
      </x:c>
      <x:c r="L42" s="73" t="str">
        <x:f>IF(D42="","",C42+K42*60)</x:f>
      </x:c>
      <x:c r="M42" t="str">
        <x:f>IF(D42="","",IF(J42&gt;=Configuracion!$B$13,"DESLIZAR",IF(J42&gt;=Configuracion!$B$12,"PREPARARSE","NO DESLIZAR")))</x:f>
      </x:c>
      <x:c r="N42" s="41" t="str">
        <x:f>IF(D42="","",D42-$D$8)</x:f>
      </x:c>
      <x:c r="O42" s="46" t="str">
        <x:f>IF(D42="","",MAX(0,MIN(1,N42/Configuracion!$B$10)))</x:f>
      </x:c>
    </x:row>
    <x:row r="43">
      <x:c r="A43" s="34"/>
      <x:c r="B43" s="36"/>
      <x:c r="C43" s="72"/>
      <x:c r="D43" s="71"/>
      <x:c r="E43" s="41" t="str">
        <x:f>IF(D43="","",D43+273.15)</x:f>
      </x:c>
      <x:c r="F43" s="44" t="str">
        <x:f>IF(OR(C43="",D43="",C42=""),"",(C43-C42)/60)</x:f>
      </x:c>
      <x:c r="G43" s="44" t="str">
        <x:f>IF(D43="","",EXP(-Configuracion!$B$4/Configuracion!$B$5*(1/AVERAGE(E42:E43)-1/(Configuracion!$B$3+273.15))))</x:f>
      </x:c>
      <x:c r="H43" s="44" t="str">
        <x:f>IF(D43="","",F43*G43)</x:f>
      </x:c>
      <x:c r="I43" s="44" t="str">
        <x:f>IF(D43="","",I42+H43)</x:f>
      </x:c>
      <x:c r="J43" s="46" t="str">
        <x:f>IF(D43="","",MIN(1,I43/Configuracion!$B$11))</x:f>
      </x:c>
      <x:c r="K43" s="48" t="str">
        <x:f>IF(D43="","",MAX(0,(Configuracion!$B$11-I43)/G43))</x:f>
      </x:c>
      <x:c r="L43" s="73" t="str">
        <x:f>IF(D43="","",C43+K43*60)</x:f>
      </x:c>
      <x:c r="M43" t="str">
        <x:f>IF(D43="","",IF(J43&gt;=Configuracion!$B$13,"DESLIZAR",IF(J43&gt;=Configuracion!$B$12,"PREPARARSE","NO DESLIZAR")))</x:f>
      </x:c>
      <x:c r="N43" s="41" t="str">
        <x:f>IF(D43="","",D43-$D$8)</x:f>
      </x:c>
      <x:c r="O43" s="46" t="str">
        <x:f>IF(D43="","",MAX(0,MIN(1,N43/Configuracion!$B$10)))</x:f>
      </x:c>
    </x:row>
    <x:row r="44">
      <x:c r="A44" s="34"/>
      <x:c r="B44" s="36"/>
      <x:c r="C44" s="72"/>
      <x:c r="D44" s="71"/>
      <x:c r="E44" s="41" t="str">
        <x:f>IF(D44="","",D44+273.15)</x:f>
      </x:c>
      <x:c r="F44" s="44" t="str">
        <x:f>IF(OR(C44="",D44="",C43=""),"",(C44-C43)/60)</x:f>
      </x:c>
      <x:c r="G44" s="44" t="str">
        <x:f>IF(D44="","",EXP(-Configuracion!$B$4/Configuracion!$B$5*(1/AVERAGE(E43:E44)-1/(Configuracion!$B$3+273.15))))</x:f>
      </x:c>
      <x:c r="H44" s="44" t="str">
        <x:f>IF(D44="","",F44*G44)</x:f>
      </x:c>
      <x:c r="I44" s="44" t="str">
        <x:f>IF(D44="","",I43+H44)</x:f>
      </x:c>
      <x:c r="J44" s="46" t="str">
        <x:f>IF(D44="","",MIN(1,I44/Configuracion!$B$11))</x:f>
      </x:c>
      <x:c r="K44" s="48" t="str">
        <x:f>IF(D44="","",MAX(0,(Configuracion!$B$11-I44)/G44))</x:f>
      </x:c>
      <x:c r="L44" s="73" t="str">
        <x:f>IF(D44="","",C44+K44*60)</x:f>
      </x:c>
      <x:c r="M44" t="str">
        <x:f>IF(D44="","",IF(J44&gt;=Configuracion!$B$13,"DESLIZAR",IF(J44&gt;=Configuracion!$B$12,"PREPARARSE","NO DESLIZAR")))</x:f>
      </x:c>
      <x:c r="N44" s="41" t="str">
        <x:f>IF(D44="","",D44-$D$8)</x:f>
      </x:c>
      <x:c r="O44" s="46" t="str">
        <x:f>IF(D44="","",MAX(0,MIN(1,N44/Configuracion!$B$10)))</x:f>
      </x:c>
    </x:row>
    <x:row r="45">
      <x:c r="A45" s="34"/>
      <x:c r="B45" s="36"/>
      <x:c r="C45" s="72"/>
      <x:c r="D45" s="71"/>
      <x:c r="E45" s="41" t="str">
        <x:f>IF(D45="","",D45+273.15)</x:f>
      </x:c>
      <x:c r="F45" s="44" t="str">
        <x:f>IF(OR(C45="",D45="",C44=""),"",(C45-C44)/60)</x:f>
      </x:c>
      <x:c r="G45" s="44" t="str">
        <x:f>IF(D45="","",EXP(-Configuracion!$B$4/Configuracion!$B$5*(1/AVERAGE(E44:E45)-1/(Configuracion!$B$3+273.15))))</x:f>
      </x:c>
      <x:c r="H45" s="44" t="str">
        <x:f>IF(D45="","",F45*G45)</x:f>
      </x:c>
      <x:c r="I45" s="44" t="str">
        <x:f>IF(D45="","",I44+H45)</x:f>
      </x:c>
      <x:c r="J45" s="46" t="str">
        <x:f>IF(D45="","",MIN(1,I45/Configuracion!$B$11))</x:f>
      </x:c>
      <x:c r="K45" s="48" t="str">
        <x:f>IF(D45="","",MAX(0,(Configuracion!$B$11-I45)/G45))</x:f>
      </x:c>
      <x:c r="L45" s="73" t="str">
        <x:f>IF(D45="","",C45+K45*60)</x:f>
      </x:c>
      <x:c r="M45" t="str">
        <x:f>IF(D45="","",IF(J45&gt;=Configuracion!$B$13,"DESLIZAR",IF(J45&gt;=Configuracion!$B$12,"PREPARARSE","NO DESLIZAR")))</x:f>
      </x:c>
      <x:c r="N45" s="41" t="str">
        <x:f>IF(D45="","",D45-$D$8)</x:f>
      </x:c>
      <x:c r="O45" s="46" t="str">
        <x:f>IF(D45="","",MAX(0,MIN(1,N45/Configuracion!$B$10)))</x:f>
      </x:c>
    </x:row>
    <x:row r="46">
      <x:c r="A46" s="34"/>
      <x:c r="B46" s="36"/>
      <x:c r="C46" s="72"/>
      <x:c r="D46" s="71"/>
      <x:c r="E46" s="41" t="str">
        <x:f>IF(D46="","",D46+273.15)</x:f>
      </x:c>
      <x:c r="F46" s="44" t="str">
        <x:f>IF(OR(C46="",D46="",C45=""),"",(C46-C45)/60)</x:f>
      </x:c>
      <x:c r="G46" s="44" t="str">
        <x:f>IF(D46="","",EXP(-Configuracion!$B$4/Configuracion!$B$5*(1/AVERAGE(E45:E46)-1/(Configuracion!$B$3+273.15))))</x:f>
      </x:c>
      <x:c r="H46" s="44" t="str">
        <x:f>IF(D46="","",F46*G46)</x:f>
      </x:c>
      <x:c r="I46" s="44" t="str">
        <x:f>IF(D46="","",I45+H46)</x:f>
      </x:c>
      <x:c r="J46" s="46" t="str">
        <x:f>IF(D46="","",MIN(1,I46/Configuracion!$B$11))</x:f>
      </x:c>
      <x:c r="K46" s="48" t="str">
        <x:f>IF(D46="","",MAX(0,(Configuracion!$B$11-I46)/G46))</x:f>
      </x:c>
      <x:c r="L46" s="73" t="str">
        <x:f>IF(D46="","",C46+K46*60)</x:f>
      </x:c>
      <x:c r="M46" t="str">
        <x:f>IF(D46="","",IF(J46&gt;=Configuracion!$B$13,"DESLIZAR",IF(J46&gt;=Configuracion!$B$12,"PREPARARSE","NO DESLIZAR")))</x:f>
      </x:c>
      <x:c r="N46" s="41" t="str">
        <x:f>IF(D46="","",D46-$D$8)</x:f>
      </x:c>
      <x:c r="O46" s="46" t="str">
        <x:f>IF(D46="","",MAX(0,MIN(1,N46/Configuracion!$B$10)))</x:f>
      </x:c>
    </x:row>
    <x:row r="47">
      <x:c r="A47" s="34"/>
      <x:c r="B47" s="36"/>
      <x:c r="C47" s="72"/>
      <x:c r="D47" s="71"/>
      <x:c r="E47" s="41" t="str">
        <x:f>IF(D47="","",D47+273.15)</x:f>
      </x:c>
      <x:c r="F47" s="44" t="str">
        <x:f>IF(OR(C47="",D47="",C46=""),"",(C47-C46)/60)</x:f>
      </x:c>
      <x:c r="G47" s="44" t="str">
        <x:f>IF(D47="","",EXP(-Configuracion!$B$4/Configuracion!$B$5*(1/AVERAGE(E46:E47)-1/(Configuracion!$B$3+273.15))))</x:f>
      </x:c>
      <x:c r="H47" s="44" t="str">
        <x:f>IF(D47="","",F47*G47)</x:f>
      </x:c>
      <x:c r="I47" s="44" t="str">
        <x:f>IF(D47="","",I46+H47)</x:f>
      </x:c>
      <x:c r="J47" s="46" t="str">
        <x:f>IF(D47="","",MIN(1,I47/Configuracion!$B$11))</x:f>
      </x:c>
      <x:c r="K47" s="48" t="str">
        <x:f>IF(D47="","",MAX(0,(Configuracion!$B$11-I47)/G47))</x:f>
      </x:c>
      <x:c r="L47" s="73" t="str">
        <x:f>IF(D47="","",C47+K47*60)</x:f>
      </x:c>
      <x:c r="M47" t="str">
        <x:f>IF(D47="","",IF(J47&gt;=Configuracion!$B$13,"DESLIZAR",IF(J47&gt;=Configuracion!$B$12,"PREPARARSE","NO DESLIZAR")))</x:f>
      </x:c>
      <x:c r="N47" s="41" t="str">
        <x:f>IF(D47="","",D47-$D$8)</x:f>
      </x:c>
      <x:c r="O47" s="46" t="str">
        <x:f>IF(D47="","",MAX(0,MIN(1,N47/Configuracion!$B$10)))</x:f>
      </x:c>
    </x:row>
    <x:row r="48">
      <x:c r="A48" s="34"/>
      <x:c r="B48" s="36"/>
      <x:c r="C48" s="72"/>
      <x:c r="D48" s="71"/>
      <x:c r="E48" s="41" t="str">
        <x:f>IF(D48="","",D48+273.15)</x:f>
      </x:c>
      <x:c r="F48" s="44" t="str">
        <x:f>IF(OR(C48="",D48="",C47=""),"",(C48-C47)/60)</x:f>
      </x:c>
      <x:c r="G48" s="44" t="str">
        <x:f>IF(D48="","",EXP(-Configuracion!$B$4/Configuracion!$B$5*(1/AVERAGE(E47:E48)-1/(Configuracion!$B$3+273.15))))</x:f>
      </x:c>
      <x:c r="H48" s="44" t="str">
        <x:f>IF(D48="","",F48*G48)</x:f>
      </x:c>
      <x:c r="I48" s="44" t="str">
        <x:f>IF(D48="","",I47+H48)</x:f>
      </x:c>
      <x:c r="J48" s="46" t="str">
        <x:f>IF(D48="","",MIN(1,I48/Configuracion!$B$11))</x:f>
      </x:c>
      <x:c r="K48" s="48" t="str">
        <x:f>IF(D48="","",MAX(0,(Configuracion!$B$11-I48)/G48))</x:f>
      </x:c>
      <x:c r="L48" s="73" t="str">
        <x:f>IF(D48="","",C48+K48*60)</x:f>
      </x:c>
      <x:c r="M48" t="str">
        <x:f>IF(D48="","",IF(J48&gt;=Configuracion!$B$13,"DESLIZAR",IF(J48&gt;=Configuracion!$B$12,"PREPARARSE","NO DESLIZAR")))</x:f>
      </x:c>
      <x:c r="N48" s="41" t="str">
        <x:f>IF(D48="","",D48-$D$8)</x:f>
      </x:c>
      <x:c r="O48" s="46" t="str">
        <x:f>IF(D48="","",MAX(0,MIN(1,N48/Configuracion!$B$10)))</x:f>
      </x:c>
    </x:row>
    <x:row r="49">
      <x:c r="A49" s="34"/>
      <x:c r="B49" s="36"/>
      <x:c r="C49" s="72"/>
      <x:c r="D49" s="71"/>
      <x:c r="E49" s="41" t="str">
        <x:f>IF(D49="","",D49+273.15)</x:f>
      </x:c>
      <x:c r="F49" s="44" t="str">
        <x:f>IF(OR(C49="",D49="",C48=""),"",(C49-C48)/60)</x:f>
      </x:c>
      <x:c r="G49" s="44" t="str">
        <x:f>IF(D49="","",EXP(-Configuracion!$B$4/Configuracion!$B$5*(1/AVERAGE(E48:E49)-1/(Configuracion!$B$3+273.15))))</x:f>
      </x:c>
      <x:c r="H49" s="44" t="str">
        <x:f>IF(D49="","",F49*G49)</x:f>
      </x:c>
      <x:c r="I49" s="44" t="str">
        <x:f>IF(D49="","",I48+H49)</x:f>
      </x:c>
      <x:c r="J49" s="46" t="str">
        <x:f>IF(D49="","",MIN(1,I49/Configuracion!$B$11))</x:f>
      </x:c>
      <x:c r="K49" s="48" t="str">
        <x:f>IF(D49="","",MAX(0,(Configuracion!$B$11-I49)/G49))</x:f>
      </x:c>
      <x:c r="L49" s="73" t="str">
        <x:f>IF(D49="","",C49+K49*60)</x:f>
      </x:c>
      <x:c r="M49" t="str">
        <x:f>IF(D49="","",IF(J49&gt;=Configuracion!$B$13,"DESLIZAR",IF(J49&gt;=Configuracion!$B$12,"PREPARARSE","NO DESLIZAR")))</x:f>
      </x:c>
      <x:c r="N49" s="41" t="str">
        <x:f>IF(D49="","",D49-$D$8)</x:f>
      </x:c>
      <x:c r="O49" s="46" t="str">
        <x:f>IF(D49="","",MAX(0,MIN(1,N49/Configuracion!$B$10)))</x:f>
      </x:c>
    </x:row>
    <x:row r="50">
      <x:c r="A50" s="34"/>
      <x:c r="B50" s="36"/>
      <x:c r="C50" s="72"/>
      <x:c r="D50" s="71"/>
      <x:c r="E50" s="41" t="str">
        <x:f>IF(D50="","",D50+273.15)</x:f>
      </x:c>
      <x:c r="F50" s="44" t="str">
        <x:f>IF(OR(C50="",D50="",C49=""),"",(C50-C49)/60)</x:f>
      </x:c>
      <x:c r="G50" s="44" t="str">
        <x:f>IF(D50="","",EXP(-Configuracion!$B$4/Configuracion!$B$5*(1/AVERAGE(E49:E50)-1/(Configuracion!$B$3+273.15))))</x:f>
      </x:c>
      <x:c r="H50" s="44" t="str">
        <x:f>IF(D50="","",F50*G50)</x:f>
      </x:c>
      <x:c r="I50" s="44" t="str">
        <x:f>IF(D50="","",I49+H50)</x:f>
      </x:c>
      <x:c r="J50" s="46" t="str">
        <x:f>IF(D50="","",MIN(1,I50/Configuracion!$B$11))</x:f>
      </x:c>
      <x:c r="K50" s="48" t="str">
        <x:f>IF(D50="","",MAX(0,(Configuracion!$B$11-I50)/G50))</x:f>
      </x:c>
      <x:c r="L50" s="73" t="str">
        <x:f>IF(D50="","",C50+K50*60)</x:f>
      </x:c>
      <x:c r="M50" t="str">
        <x:f>IF(D50="","",IF(J50&gt;=Configuracion!$B$13,"DESLIZAR",IF(J50&gt;=Configuracion!$B$12,"PREPARARSE","NO DESLIZAR")))</x:f>
      </x:c>
      <x:c r="N50" s="41" t="str">
        <x:f>IF(D50="","",D50-$D$8)</x:f>
      </x:c>
      <x:c r="O50" s="46" t="str">
        <x:f>IF(D50="","",MAX(0,MIN(1,N50/Configuracion!$B$10)))</x:f>
      </x:c>
    </x:row>
    <x:row r="51">
      <x:c r="A51" s="34"/>
      <x:c r="B51" s="36"/>
      <x:c r="C51" s="72"/>
      <x:c r="D51" s="71"/>
      <x:c r="E51" s="41" t="str">
        <x:f>IF(D51="","",D51+273.15)</x:f>
      </x:c>
      <x:c r="F51" s="44" t="str">
        <x:f>IF(OR(C51="",D51="",C50=""),"",(C51-C50)/60)</x:f>
      </x:c>
      <x:c r="G51" s="44" t="str">
        <x:f>IF(D51="","",EXP(-Configuracion!$B$4/Configuracion!$B$5*(1/AVERAGE(E50:E51)-1/(Configuracion!$B$3+273.15))))</x:f>
      </x:c>
      <x:c r="H51" s="44" t="str">
        <x:f>IF(D51="","",F51*G51)</x:f>
      </x:c>
      <x:c r="I51" s="44" t="str">
        <x:f>IF(D51="","",I50+H51)</x:f>
      </x:c>
      <x:c r="J51" s="46" t="str">
        <x:f>IF(D51="","",MIN(1,I51/Configuracion!$B$11))</x:f>
      </x:c>
      <x:c r="K51" s="48" t="str">
        <x:f>IF(D51="","",MAX(0,(Configuracion!$B$11-I51)/G51))</x:f>
      </x:c>
      <x:c r="L51" s="73" t="str">
        <x:f>IF(D51="","",C51+K51*60)</x:f>
      </x:c>
      <x:c r="M51" t="str">
        <x:f>IF(D51="","",IF(J51&gt;=Configuracion!$B$13,"DESLIZAR",IF(J51&gt;=Configuracion!$B$12,"PREPARARSE","NO DESLIZAR")))</x:f>
      </x:c>
      <x:c r="N51" s="41" t="str">
        <x:f>IF(D51="","",D51-$D$8)</x:f>
      </x:c>
      <x:c r="O51" s="46" t="str">
        <x:f>IF(D51="","",MAX(0,MIN(1,N51/Configuracion!$B$10)))</x:f>
      </x:c>
    </x:row>
    <x:row r="52">
      <x:c r="A52" s="34"/>
      <x:c r="B52" s="36"/>
      <x:c r="C52" s="72"/>
      <x:c r="D52" s="71"/>
      <x:c r="E52" s="41" t="str">
        <x:f>IF(D52="","",D52+273.15)</x:f>
      </x:c>
      <x:c r="F52" s="44" t="str">
        <x:f>IF(OR(C52="",D52="",C51=""),"",(C52-C51)/60)</x:f>
      </x:c>
      <x:c r="G52" s="44" t="str">
        <x:f>IF(D52="","",EXP(-Configuracion!$B$4/Configuracion!$B$5*(1/AVERAGE(E51:E52)-1/(Configuracion!$B$3+273.15))))</x:f>
      </x:c>
      <x:c r="H52" s="44" t="str">
        <x:f>IF(D52="","",F52*G52)</x:f>
      </x:c>
      <x:c r="I52" s="44" t="str">
        <x:f>IF(D52="","",I51+H52)</x:f>
      </x:c>
      <x:c r="J52" s="46" t="str">
        <x:f>IF(D52="","",MIN(1,I52/Configuracion!$B$11))</x:f>
      </x:c>
      <x:c r="K52" s="48" t="str">
        <x:f>IF(D52="","",MAX(0,(Configuracion!$B$11-I52)/G52))</x:f>
      </x:c>
      <x:c r="L52" s="73" t="str">
        <x:f>IF(D52="","",C52+K52*60)</x:f>
      </x:c>
      <x:c r="M52" t="str">
        <x:f>IF(D52="","",IF(J52&gt;=Configuracion!$B$13,"DESLIZAR",IF(J52&gt;=Configuracion!$B$12,"PREPARARSE","NO DESLIZAR")))</x:f>
      </x:c>
      <x:c r="N52" s="41" t="str">
        <x:f>IF(D52="","",D52-$D$8)</x:f>
      </x:c>
      <x:c r="O52" s="46" t="str">
        <x:f>IF(D52="","",MAX(0,MIN(1,N52/Configuracion!$B$10)))</x:f>
      </x:c>
    </x:row>
    <x:row r="53">
      <x:c r="A53" s="34"/>
      <x:c r="B53" s="36"/>
      <x:c r="C53" s="72"/>
      <x:c r="D53" s="71"/>
      <x:c r="E53" s="41" t="str">
        <x:f>IF(D53="","",D53+273.15)</x:f>
      </x:c>
      <x:c r="F53" s="44" t="str">
        <x:f>IF(OR(C53="",D53="",C52=""),"",(C53-C52)/60)</x:f>
      </x:c>
      <x:c r="G53" s="44" t="str">
        <x:f>IF(D53="","",EXP(-Configuracion!$B$4/Configuracion!$B$5*(1/AVERAGE(E52:E53)-1/(Configuracion!$B$3+273.15))))</x:f>
      </x:c>
      <x:c r="H53" s="44" t="str">
        <x:f>IF(D53="","",F53*G53)</x:f>
      </x:c>
      <x:c r="I53" s="44" t="str">
        <x:f>IF(D53="","",I52+H53)</x:f>
      </x:c>
      <x:c r="J53" s="46" t="str">
        <x:f>IF(D53="","",MIN(1,I53/Configuracion!$B$11))</x:f>
      </x:c>
      <x:c r="K53" s="48" t="str">
        <x:f>IF(D53="","",MAX(0,(Configuracion!$B$11-I53)/G53))</x:f>
      </x:c>
      <x:c r="L53" s="73" t="str">
        <x:f>IF(D53="","",C53+K53*60)</x:f>
      </x:c>
      <x:c r="M53" t="str">
        <x:f>IF(D53="","",IF(J53&gt;=Configuracion!$B$13,"DESLIZAR",IF(J53&gt;=Configuracion!$B$12,"PREPARARSE","NO DESLIZAR")))</x:f>
      </x:c>
      <x:c r="N53" s="41" t="str">
        <x:f>IF(D53="","",D53-$D$8)</x:f>
      </x:c>
      <x:c r="O53" s="46" t="str">
        <x:f>IF(D53="","",MAX(0,MIN(1,N53/Configuracion!$B$10)))</x:f>
      </x:c>
    </x:row>
    <x:row r="54">
      <x:c r="A54" s="34"/>
      <x:c r="B54" s="36"/>
      <x:c r="C54" s="72"/>
      <x:c r="D54" s="71"/>
      <x:c r="E54" s="41" t="str">
        <x:f>IF(D54="","",D54+273.15)</x:f>
      </x:c>
      <x:c r="F54" s="44" t="str">
        <x:f>IF(OR(C54="",D54="",C53=""),"",(C54-C53)/60)</x:f>
      </x:c>
      <x:c r="G54" s="44" t="str">
        <x:f>IF(D54="","",EXP(-Configuracion!$B$4/Configuracion!$B$5*(1/AVERAGE(E53:E54)-1/(Configuracion!$B$3+273.15))))</x:f>
      </x:c>
      <x:c r="H54" s="44" t="str">
        <x:f>IF(D54="","",F54*G54)</x:f>
      </x:c>
      <x:c r="I54" s="44" t="str">
        <x:f>IF(D54="","",I53+H54)</x:f>
      </x:c>
      <x:c r="J54" s="46" t="str">
        <x:f>IF(D54="","",MIN(1,I54/Configuracion!$B$11))</x:f>
      </x:c>
      <x:c r="K54" s="48" t="str">
        <x:f>IF(D54="","",MAX(0,(Configuracion!$B$11-I54)/G54))</x:f>
      </x:c>
      <x:c r="L54" s="73" t="str">
        <x:f>IF(D54="","",C54+K54*60)</x:f>
      </x:c>
      <x:c r="M54" t="str">
        <x:f>IF(D54="","",IF(J54&gt;=Configuracion!$B$13,"DESLIZAR",IF(J54&gt;=Configuracion!$B$12,"PREPARARSE","NO DESLIZAR")))</x:f>
      </x:c>
      <x:c r="N54" s="41" t="str">
        <x:f>IF(D54="","",D54-$D$8)</x:f>
      </x:c>
      <x:c r="O54" s="46" t="str">
        <x:f>IF(D54="","",MAX(0,MIN(1,N54/Configuracion!$B$10)))</x:f>
      </x:c>
    </x:row>
    <x:row r="55">
      <x:c r="A55" s="34"/>
      <x:c r="B55" s="36"/>
      <x:c r="C55" s="72"/>
      <x:c r="D55" s="71"/>
      <x:c r="E55" s="41" t="str">
        <x:f>IF(D55="","",D55+273.15)</x:f>
      </x:c>
      <x:c r="F55" s="44" t="str">
        <x:f>IF(OR(C55="",D55="",C54=""),"",(C55-C54)/60)</x:f>
      </x:c>
      <x:c r="G55" s="44" t="str">
        <x:f>IF(D55="","",EXP(-Configuracion!$B$4/Configuracion!$B$5*(1/AVERAGE(E54:E55)-1/(Configuracion!$B$3+273.15))))</x:f>
      </x:c>
      <x:c r="H55" s="44" t="str">
        <x:f>IF(D55="","",F55*G55)</x:f>
      </x:c>
      <x:c r="I55" s="44" t="str">
        <x:f>IF(D55="","",I54+H55)</x:f>
      </x:c>
      <x:c r="J55" s="46" t="str">
        <x:f>IF(D55="","",MIN(1,I55/Configuracion!$B$11))</x:f>
      </x:c>
      <x:c r="K55" s="48" t="str">
        <x:f>IF(D55="","",MAX(0,(Configuracion!$B$11-I55)/G55))</x:f>
      </x:c>
      <x:c r="L55" s="73" t="str">
        <x:f>IF(D55="","",C55+K55*60)</x:f>
      </x:c>
      <x:c r="M55" t="str">
        <x:f>IF(D55="","",IF(J55&gt;=Configuracion!$B$13,"DESLIZAR",IF(J55&gt;=Configuracion!$B$12,"PREPARARSE","NO DESLIZAR")))</x:f>
      </x:c>
      <x:c r="N55" s="41" t="str">
        <x:f>IF(D55="","",D55-$D$8)</x:f>
      </x:c>
      <x:c r="O55" s="46" t="str">
        <x:f>IF(D55="","",MAX(0,MIN(1,N55/Configuracion!$B$10)))</x:f>
      </x:c>
    </x:row>
    <x:row r="56">
      <x:c r="A56" s="34"/>
      <x:c r="B56" s="36"/>
      <x:c r="C56" s="72"/>
      <x:c r="D56" s="71"/>
      <x:c r="E56" s="41" t="str">
        <x:f>IF(D56="","",D56+273.15)</x:f>
      </x:c>
      <x:c r="F56" s="44" t="str">
        <x:f>IF(OR(C56="",D56="",C55=""),"",(C56-C55)/60)</x:f>
      </x:c>
      <x:c r="G56" s="44" t="str">
        <x:f>IF(D56="","",EXP(-Configuracion!$B$4/Configuracion!$B$5*(1/AVERAGE(E55:E56)-1/(Configuracion!$B$3+273.15))))</x:f>
      </x:c>
      <x:c r="H56" s="44" t="str">
        <x:f>IF(D56="","",F56*G56)</x:f>
      </x:c>
      <x:c r="I56" s="44" t="str">
        <x:f>IF(D56="","",I55+H56)</x:f>
      </x:c>
      <x:c r="J56" s="46" t="str">
        <x:f>IF(D56="","",MIN(1,I56/Configuracion!$B$11))</x:f>
      </x:c>
      <x:c r="K56" s="48" t="str">
        <x:f>IF(D56="","",MAX(0,(Configuracion!$B$11-I56)/G56))</x:f>
      </x:c>
      <x:c r="L56" s="73" t="str">
        <x:f>IF(D56="","",C56+K56*60)</x:f>
      </x:c>
      <x:c r="M56" t="str">
        <x:f>IF(D56="","",IF(J56&gt;=Configuracion!$B$13,"DESLIZAR",IF(J56&gt;=Configuracion!$B$12,"PREPARARSE","NO DESLIZAR")))</x:f>
      </x:c>
      <x:c r="N56" s="41" t="str">
        <x:f>IF(D56="","",D56-$D$8)</x:f>
      </x:c>
      <x:c r="O56" s="46" t="str">
        <x:f>IF(D56="","",MAX(0,MIN(1,N56/Configuracion!$B$10)))</x:f>
      </x:c>
    </x:row>
    <x:row r="57">
      <x:c r="A57" s="34"/>
      <x:c r="B57" s="36"/>
      <x:c r="C57" s="72"/>
      <x:c r="D57" s="71"/>
      <x:c r="E57" s="41" t="str">
        <x:f>IF(D57="","",D57+273.15)</x:f>
      </x:c>
      <x:c r="F57" s="44" t="str">
        <x:f>IF(OR(C57="",D57="",C56=""),"",(C57-C56)/60)</x:f>
      </x:c>
      <x:c r="G57" s="44" t="str">
        <x:f>IF(D57="","",EXP(-Configuracion!$B$4/Configuracion!$B$5*(1/AVERAGE(E56:E57)-1/(Configuracion!$B$3+273.15))))</x:f>
      </x:c>
      <x:c r="H57" s="44" t="str">
        <x:f>IF(D57="","",F57*G57)</x:f>
      </x:c>
      <x:c r="I57" s="44" t="str">
        <x:f>IF(D57="","",I56+H57)</x:f>
      </x:c>
      <x:c r="J57" s="46" t="str">
        <x:f>IF(D57="","",MIN(1,I57/Configuracion!$B$11))</x:f>
      </x:c>
      <x:c r="K57" s="48" t="str">
        <x:f>IF(D57="","",MAX(0,(Configuracion!$B$11-I57)/G57))</x:f>
      </x:c>
      <x:c r="L57" s="73" t="str">
        <x:f>IF(D57="","",C57+K57*60)</x:f>
      </x:c>
      <x:c r="M57" t="str">
        <x:f>IF(D57="","",IF(J57&gt;=Configuracion!$B$13,"DESLIZAR",IF(J57&gt;=Configuracion!$B$12,"PREPARARSE","NO DESLIZAR")))</x:f>
      </x:c>
      <x:c r="N57" s="41" t="str">
        <x:f>IF(D57="","",D57-$D$8)</x:f>
      </x:c>
      <x:c r="O57" s="46" t="str">
        <x:f>IF(D57="","",MAX(0,MIN(1,N57/Configuracion!$B$10)))</x:f>
      </x:c>
    </x:row>
    <x:row r="58">
      <x:c r="A58" s="34"/>
      <x:c r="B58" s="36"/>
      <x:c r="C58" s="72"/>
      <x:c r="D58" s="71"/>
      <x:c r="E58" s="41" t="str">
        <x:f>IF(D58="","",D58+273.15)</x:f>
      </x:c>
      <x:c r="F58" s="44" t="str">
        <x:f>IF(OR(C58="",D58="",C57=""),"",(C58-C57)/60)</x:f>
      </x:c>
      <x:c r="G58" s="44" t="str">
        <x:f>IF(D58="","",EXP(-Configuracion!$B$4/Configuracion!$B$5*(1/AVERAGE(E57:E58)-1/(Configuracion!$B$3+273.15))))</x:f>
      </x:c>
      <x:c r="H58" s="44" t="str">
        <x:f>IF(D58="","",F58*G58)</x:f>
      </x:c>
      <x:c r="I58" s="44" t="str">
        <x:f>IF(D58="","",I57+H58)</x:f>
      </x:c>
      <x:c r="J58" s="46" t="str">
        <x:f>IF(D58="","",MIN(1,I58/Configuracion!$B$11))</x:f>
      </x:c>
      <x:c r="K58" s="48" t="str">
        <x:f>IF(D58="","",MAX(0,(Configuracion!$B$11-I58)/G58))</x:f>
      </x:c>
      <x:c r="L58" s="73" t="str">
        <x:f>IF(D58="","",C58+K58*60)</x:f>
      </x:c>
      <x:c r="M58" t="str">
        <x:f>IF(D58="","",IF(J58&gt;=Configuracion!$B$13,"DESLIZAR",IF(J58&gt;=Configuracion!$B$12,"PREPARARSE","NO DESLIZAR")))</x:f>
      </x:c>
      <x:c r="N58" s="41" t="str">
        <x:f>IF(D58="","",D58-$D$8)</x:f>
      </x:c>
      <x:c r="O58" s="46" t="str">
        <x:f>IF(D58="","",MAX(0,MIN(1,N58/Configuracion!$B$10)))</x:f>
      </x:c>
    </x:row>
    <x:row r="59">
      <x:c r="A59" s="34"/>
      <x:c r="B59" s="36"/>
      <x:c r="C59" s="72"/>
      <x:c r="D59" s="71"/>
      <x:c r="E59" s="41" t="str">
        <x:f>IF(D59="","",D59+273.15)</x:f>
      </x:c>
      <x:c r="F59" s="44" t="str">
        <x:f>IF(OR(C59="",D59="",C58=""),"",(C59-C58)/60)</x:f>
      </x:c>
      <x:c r="G59" s="44" t="str">
        <x:f>IF(D59="","",EXP(-Configuracion!$B$4/Configuracion!$B$5*(1/AVERAGE(E58:E59)-1/(Configuracion!$B$3+273.15))))</x:f>
      </x:c>
      <x:c r="H59" s="44" t="str">
        <x:f>IF(D59="","",F59*G59)</x:f>
      </x:c>
      <x:c r="I59" s="44" t="str">
        <x:f>IF(D59="","",I58+H59)</x:f>
      </x:c>
      <x:c r="J59" s="46" t="str">
        <x:f>IF(D59="","",MIN(1,I59/Configuracion!$B$11))</x:f>
      </x:c>
      <x:c r="K59" s="48" t="str">
        <x:f>IF(D59="","",MAX(0,(Configuracion!$B$11-I59)/G59))</x:f>
      </x:c>
      <x:c r="L59" s="73" t="str">
        <x:f>IF(D59="","",C59+K59*60)</x:f>
      </x:c>
      <x:c r="M59" t="str">
        <x:f>IF(D59="","",IF(J59&gt;=Configuracion!$B$13,"DESLIZAR",IF(J59&gt;=Configuracion!$B$12,"PREPARARSE","NO DESLIZAR")))</x:f>
      </x:c>
      <x:c r="N59" s="41" t="str">
        <x:f>IF(D59="","",D59-$D$8)</x:f>
      </x:c>
      <x:c r="O59" s="46" t="str">
        <x:f>IF(D59="","",MAX(0,MIN(1,N59/Configuracion!$B$10)))</x:f>
      </x:c>
    </x:row>
    <x:row r="60">
      <x:c r="A60" s="34"/>
      <x:c r="B60" s="36"/>
      <x:c r="C60" s="72"/>
      <x:c r="D60" s="71"/>
      <x:c r="E60" s="41" t="str">
        <x:f>IF(D60="","",D60+273.15)</x:f>
      </x:c>
      <x:c r="F60" s="44" t="str">
        <x:f>IF(OR(C60="",D60="",C59=""),"",(C60-C59)/60)</x:f>
      </x:c>
      <x:c r="G60" s="44" t="str">
        <x:f>IF(D60="","",EXP(-Configuracion!$B$4/Configuracion!$B$5*(1/AVERAGE(E59:E60)-1/(Configuracion!$B$3+273.15))))</x:f>
      </x:c>
      <x:c r="H60" s="44" t="str">
        <x:f>IF(D60="","",F60*G60)</x:f>
      </x:c>
      <x:c r="I60" s="44" t="str">
        <x:f>IF(D60="","",I59+H60)</x:f>
      </x:c>
      <x:c r="J60" s="46" t="str">
        <x:f>IF(D60="","",MIN(1,I60/Configuracion!$B$11))</x:f>
      </x:c>
      <x:c r="K60" s="48" t="str">
        <x:f>IF(D60="","",MAX(0,(Configuracion!$B$11-I60)/G60))</x:f>
      </x:c>
      <x:c r="L60" s="73" t="str">
        <x:f>IF(D60="","",C60+K60*60)</x:f>
      </x:c>
      <x:c r="M60" t="str">
        <x:f>IF(D60="","",IF(J60&gt;=Configuracion!$B$13,"DESLIZAR",IF(J60&gt;=Configuracion!$B$12,"PREPARARSE","NO DESLIZAR")))</x:f>
      </x:c>
      <x:c r="N60" s="41" t="str">
        <x:f>IF(D60="","",D60-$D$8)</x:f>
      </x:c>
      <x:c r="O60" s="46" t="str">
        <x:f>IF(D60="","",MAX(0,MIN(1,N60/Configuracion!$B$10)))</x:f>
      </x:c>
    </x:row>
    <x:row r="61">
      <x:c r="A61" s="34"/>
      <x:c r="B61" s="36"/>
      <x:c r="C61" s="72"/>
      <x:c r="D61" s="71"/>
      <x:c r="E61" s="41" t="str">
        <x:f>IF(D61="","",D61+273.15)</x:f>
      </x:c>
      <x:c r="F61" s="44" t="str">
        <x:f>IF(OR(C61="",D61="",C60=""),"",(C61-C60)/60)</x:f>
      </x:c>
      <x:c r="G61" s="44" t="str">
        <x:f>IF(D61="","",EXP(-Configuracion!$B$4/Configuracion!$B$5*(1/AVERAGE(E60:E61)-1/(Configuracion!$B$3+273.15))))</x:f>
      </x:c>
      <x:c r="H61" s="44" t="str">
        <x:f>IF(D61="","",F61*G61)</x:f>
      </x:c>
      <x:c r="I61" s="44" t="str">
        <x:f>IF(D61="","",I60+H61)</x:f>
      </x:c>
      <x:c r="J61" s="46" t="str">
        <x:f>IF(D61="","",MIN(1,I61/Configuracion!$B$11))</x:f>
      </x:c>
      <x:c r="K61" s="48" t="str">
        <x:f>IF(D61="","",MAX(0,(Configuracion!$B$11-I61)/G61))</x:f>
      </x:c>
      <x:c r="L61" s="73" t="str">
        <x:f>IF(D61="","",C61+K61*60)</x:f>
      </x:c>
      <x:c r="M61" t="str">
        <x:f>IF(D61="","",IF(J61&gt;=Configuracion!$B$13,"DESLIZAR",IF(J61&gt;=Configuracion!$B$12,"PREPARARSE","NO DESLIZAR")))</x:f>
      </x:c>
      <x:c r="N61" s="41" t="str">
        <x:f>IF(D61="","",D61-$D$8)</x:f>
      </x:c>
      <x:c r="O61" s="46" t="str">
        <x:f>IF(D61="","",MAX(0,MIN(1,N61/Configuracion!$B$10)))</x:f>
      </x:c>
    </x:row>
    <x:row r="62">
      <x:c r="A62" s="34"/>
      <x:c r="B62" s="36"/>
      <x:c r="C62" s="72"/>
      <x:c r="D62" s="71"/>
      <x:c r="E62" s="41" t="str">
        <x:f>IF(D62="","",D62+273.15)</x:f>
      </x:c>
      <x:c r="F62" s="44" t="str">
        <x:f>IF(OR(C62="",D62="",C61=""),"",(C62-C61)/60)</x:f>
      </x:c>
      <x:c r="G62" s="44" t="str">
        <x:f>IF(D62="","",EXP(-Configuracion!$B$4/Configuracion!$B$5*(1/AVERAGE(E61:E62)-1/(Configuracion!$B$3+273.15))))</x:f>
      </x:c>
      <x:c r="H62" s="44" t="str">
        <x:f>IF(D62="","",F62*G62)</x:f>
      </x:c>
      <x:c r="I62" s="44" t="str">
        <x:f>IF(D62="","",I61+H62)</x:f>
      </x:c>
      <x:c r="J62" s="46" t="str">
        <x:f>IF(D62="","",MIN(1,I62/Configuracion!$B$11))</x:f>
      </x:c>
      <x:c r="K62" s="48" t="str">
        <x:f>IF(D62="","",MAX(0,(Configuracion!$B$11-I62)/G62))</x:f>
      </x:c>
      <x:c r="L62" s="73" t="str">
        <x:f>IF(D62="","",C62+K62*60)</x:f>
      </x:c>
      <x:c r="M62" t="str">
        <x:f>IF(D62="","",IF(J62&gt;=Configuracion!$B$13,"DESLIZAR",IF(J62&gt;=Configuracion!$B$12,"PREPARARSE","NO DESLIZAR")))</x:f>
      </x:c>
      <x:c r="N62" s="41" t="str">
        <x:f>IF(D62="","",D62-$D$8)</x:f>
      </x:c>
      <x:c r="O62" s="46" t="str">
        <x:f>IF(D62="","",MAX(0,MIN(1,N62/Configuracion!$B$10)))</x:f>
      </x:c>
    </x:row>
    <x:row r="63">
      <x:c r="A63" s="34"/>
      <x:c r="B63" s="36"/>
      <x:c r="C63" s="72"/>
      <x:c r="D63" s="71"/>
      <x:c r="E63" s="41" t="str">
        <x:f>IF(D63="","",D63+273.15)</x:f>
      </x:c>
      <x:c r="F63" s="44" t="str">
        <x:f>IF(OR(C63="",D63="",C62=""),"",(C63-C62)/60)</x:f>
      </x:c>
      <x:c r="G63" s="44" t="str">
        <x:f>IF(D63="","",EXP(-Configuracion!$B$4/Configuracion!$B$5*(1/AVERAGE(E62:E63)-1/(Configuracion!$B$3+273.15))))</x:f>
      </x:c>
      <x:c r="H63" s="44" t="str">
        <x:f>IF(D63="","",F63*G63)</x:f>
      </x:c>
      <x:c r="I63" s="44" t="str">
        <x:f>IF(D63="","",I62+H63)</x:f>
      </x:c>
      <x:c r="J63" s="46" t="str">
        <x:f>IF(D63="","",MIN(1,I63/Configuracion!$B$11))</x:f>
      </x:c>
      <x:c r="K63" s="48" t="str">
        <x:f>IF(D63="","",MAX(0,(Configuracion!$B$11-I63)/G63))</x:f>
      </x:c>
      <x:c r="L63" s="73" t="str">
        <x:f>IF(D63="","",C63+K63*60)</x:f>
      </x:c>
      <x:c r="M63" t="str">
        <x:f>IF(D63="","",IF(J63&gt;=Configuracion!$B$13,"DESLIZAR",IF(J63&gt;=Configuracion!$B$12,"PREPARARSE","NO DESLIZAR")))</x:f>
      </x:c>
      <x:c r="N63" s="41" t="str">
        <x:f>IF(D63="","",D63-$D$8)</x:f>
      </x:c>
      <x:c r="O63" s="46" t="str">
        <x:f>IF(D63="","",MAX(0,MIN(1,N63/Configuracion!$B$10)))</x:f>
      </x:c>
    </x:row>
    <x:row r="64">
      <x:c r="A64" s="34"/>
      <x:c r="B64" s="36"/>
      <x:c r="C64" s="72"/>
      <x:c r="D64" s="71"/>
      <x:c r="E64" s="41" t="str">
        <x:f>IF(D64="","",D64+273.15)</x:f>
      </x:c>
      <x:c r="F64" s="44" t="str">
        <x:f>IF(OR(C64="",D64="",C63=""),"",(C64-C63)/60)</x:f>
      </x:c>
      <x:c r="G64" s="44" t="str">
        <x:f>IF(D64="","",EXP(-Configuracion!$B$4/Configuracion!$B$5*(1/AVERAGE(E63:E64)-1/(Configuracion!$B$3+273.15))))</x:f>
      </x:c>
      <x:c r="H64" s="44" t="str">
        <x:f>IF(D64="","",F64*G64)</x:f>
      </x:c>
      <x:c r="I64" s="44" t="str">
        <x:f>IF(D64="","",I63+H64)</x:f>
      </x:c>
      <x:c r="J64" s="46" t="str">
        <x:f>IF(D64="","",MIN(1,I64/Configuracion!$B$11))</x:f>
      </x:c>
      <x:c r="K64" s="48" t="str">
        <x:f>IF(D64="","",MAX(0,(Configuracion!$B$11-I64)/G64))</x:f>
      </x:c>
      <x:c r="L64" s="73" t="str">
        <x:f>IF(D64="","",C64+K64*60)</x:f>
      </x:c>
      <x:c r="M64" t="str">
        <x:f>IF(D64="","",IF(J64&gt;=Configuracion!$B$13,"DESLIZAR",IF(J64&gt;=Configuracion!$B$12,"PREPARARSE","NO DESLIZAR")))</x:f>
      </x:c>
      <x:c r="N64" s="41" t="str">
        <x:f>IF(D64="","",D64-$D$8)</x:f>
      </x:c>
      <x:c r="O64" s="46" t="str">
        <x:f>IF(D64="","",MAX(0,MIN(1,N64/Configuracion!$B$10)))</x:f>
      </x:c>
    </x:row>
    <x:row r="65">
      <x:c r="A65" s="34"/>
      <x:c r="B65" s="36"/>
      <x:c r="C65" s="72"/>
      <x:c r="D65" s="71"/>
      <x:c r="E65" s="41" t="str">
        <x:f>IF(D65="","",D65+273.15)</x:f>
      </x:c>
      <x:c r="F65" s="44" t="str">
        <x:f>IF(OR(C65="",D65="",C64=""),"",(C65-C64)/60)</x:f>
      </x:c>
      <x:c r="G65" s="44" t="str">
        <x:f>IF(D65="","",EXP(-Configuracion!$B$4/Configuracion!$B$5*(1/AVERAGE(E64:E65)-1/(Configuracion!$B$3+273.15))))</x:f>
      </x:c>
      <x:c r="H65" s="44" t="str">
        <x:f>IF(D65="","",F65*G65)</x:f>
      </x:c>
      <x:c r="I65" s="44" t="str">
        <x:f>IF(D65="","",I64+H65)</x:f>
      </x:c>
      <x:c r="J65" s="46" t="str">
        <x:f>IF(D65="","",MIN(1,I65/Configuracion!$B$11))</x:f>
      </x:c>
      <x:c r="K65" s="48" t="str">
        <x:f>IF(D65="","",MAX(0,(Configuracion!$B$11-I65)/G65))</x:f>
      </x:c>
      <x:c r="L65" s="73" t="str">
        <x:f>IF(D65="","",C65+K65*60)</x:f>
      </x:c>
      <x:c r="M65" t="str">
        <x:f>IF(D65="","",IF(J65&gt;=Configuracion!$B$13,"DESLIZAR",IF(J65&gt;=Configuracion!$B$12,"PREPARARSE","NO DESLIZAR")))</x:f>
      </x:c>
      <x:c r="N65" s="41" t="str">
        <x:f>IF(D65="","",D65-$D$8)</x:f>
      </x:c>
      <x:c r="O65" s="46" t="str">
        <x:f>IF(D65="","",MAX(0,MIN(1,N65/Configuracion!$B$10)))</x:f>
      </x:c>
    </x:row>
    <x:row r="66">
      <x:c r="A66" s="34"/>
      <x:c r="B66" s="36"/>
      <x:c r="C66" s="72"/>
      <x:c r="D66" s="71"/>
      <x:c r="E66" s="41" t="str">
        <x:f>IF(D66="","",D66+273.15)</x:f>
      </x:c>
      <x:c r="F66" s="44" t="str">
        <x:f>IF(OR(C66="",D66="",C65=""),"",(C66-C65)/60)</x:f>
      </x:c>
      <x:c r="G66" s="44" t="str">
        <x:f>IF(D66="","",EXP(-Configuracion!$B$4/Configuracion!$B$5*(1/AVERAGE(E65:E66)-1/(Configuracion!$B$3+273.15))))</x:f>
      </x:c>
      <x:c r="H66" s="44" t="str">
        <x:f>IF(D66="","",F66*G66)</x:f>
      </x:c>
      <x:c r="I66" s="44" t="str">
        <x:f>IF(D66="","",I65+H66)</x:f>
      </x:c>
      <x:c r="J66" s="46" t="str">
        <x:f>IF(D66="","",MIN(1,I66/Configuracion!$B$11))</x:f>
      </x:c>
      <x:c r="K66" s="48" t="str">
        <x:f>IF(D66="","",MAX(0,(Configuracion!$B$11-I66)/G66))</x:f>
      </x:c>
      <x:c r="L66" s="73" t="str">
        <x:f>IF(D66="","",C66+K66*60)</x:f>
      </x:c>
      <x:c r="M66" t="str">
        <x:f>IF(D66="","",IF(J66&gt;=Configuracion!$B$13,"DESLIZAR",IF(J66&gt;=Configuracion!$B$12,"PREPARARSE","NO DESLIZAR")))</x:f>
      </x:c>
      <x:c r="N66" s="41" t="str">
        <x:f>IF(D66="","",D66-$D$8)</x:f>
      </x:c>
      <x:c r="O66" s="46" t="str">
        <x:f>IF(D66="","",MAX(0,MIN(1,N66/Configuracion!$B$10)))</x:f>
      </x:c>
    </x:row>
    <x:row r="67">
      <x:c r="A67" s="34"/>
      <x:c r="B67" s="36"/>
      <x:c r="C67" s="72"/>
      <x:c r="D67" s="71"/>
      <x:c r="E67" s="41" t="str">
        <x:f>IF(D67="","",D67+273.15)</x:f>
      </x:c>
      <x:c r="F67" s="44" t="str">
        <x:f>IF(OR(C67="",D67="",C66=""),"",(C67-C66)/60)</x:f>
      </x:c>
      <x:c r="G67" s="44" t="str">
        <x:f>IF(D67="","",EXP(-Configuracion!$B$4/Configuracion!$B$5*(1/AVERAGE(E66:E67)-1/(Configuracion!$B$3+273.15))))</x:f>
      </x:c>
      <x:c r="H67" s="44" t="str">
        <x:f>IF(D67="","",F67*G67)</x:f>
      </x:c>
      <x:c r="I67" s="44" t="str">
        <x:f>IF(D67="","",I66+H67)</x:f>
      </x:c>
      <x:c r="J67" s="46" t="str">
        <x:f>IF(D67="","",MIN(1,I67/Configuracion!$B$11))</x:f>
      </x:c>
      <x:c r="K67" s="48" t="str">
        <x:f>IF(D67="","",MAX(0,(Configuracion!$B$11-I67)/G67))</x:f>
      </x:c>
      <x:c r="L67" s="73" t="str">
        <x:f>IF(D67="","",C67+K67*60)</x:f>
      </x:c>
      <x:c r="M67" t="str">
        <x:f>IF(D67="","",IF(J67&gt;=Configuracion!$B$13,"DESLIZAR",IF(J67&gt;=Configuracion!$B$12,"PREPARARSE","NO DESLIZAR")))</x:f>
      </x:c>
      <x:c r="N67" s="41" t="str">
        <x:f>IF(D67="","",D67-$D$8)</x:f>
      </x:c>
      <x:c r="O67" s="46" t="str">
        <x:f>IF(D67="","",MAX(0,MIN(1,N67/Configuracion!$B$10)))</x:f>
      </x:c>
    </x:row>
    <x:row r="68">
      <x:c r="A68" s="34"/>
      <x:c r="B68" s="36"/>
      <x:c r="C68" s="72"/>
      <x:c r="D68" s="71"/>
      <x:c r="E68" s="41" t="str">
        <x:f>IF(D68="","",D68+273.15)</x:f>
      </x:c>
      <x:c r="F68" s="44" t="str">
        <x:f>IF(OR(C68="",D68="",C67=""),"",(C68-C67)/60)</x:f>
      </x:c>
      <x:c r="G68" s="44" t="str">
        <x:f>IF(D68="","",EXP(-Configuracion!$B$4/Configuracion!$B$5*(1/AVERAGE(E67:E68)-1/(Configuracion!$B$3+273.15))))</x:f>
      </x:c>
      <x:c r="H68" s="44" t="str">
        <x:f>IF(D68="","",F68*G68)</x:f>
      </x:c>
      <x:c r="I68" s="44" t="str">
        <x:f>IF(D68="","",I67+H68)</x:f>
      </x:c>
      <x:c r="J68" s="46" t="str">
        <x:f>IF(D68="","",MIN(1,I68/Configuracion!$B$11))</x:f>
      </x:c>
      <x:c r="K68" s="48" t="str">
        <x:f>IF(D68="","",MAX(0,(Configuracion!$B$11-I68)/G68))</x:f>
      </x:c>
      <x:c r="L68" s="73" t="str">
        <x:f>IF(D68="","",C68+K68*60)</x:f>
      </x:c>
      <x:c r="M68" t="str">
        <x:f>IF(D68="","",IF(J68&gt;=Configuracion!$B$13,"DESLIZAR",IF(J68&gt;=Configuracion!$B$12,"PREPARARSE","NO DESLIZAR")))</x:f>
      </x:c>
      <x:c r="N68" s="41" t="str">
        <x:f>IF(D68="","",D68-$D$8)</x:f>
      </x:c>
      <x:c r="O68" s="46" t="str">
        <x:f>IF(D68="","",MAX(0,MIN(1,N68/Configuracion!$B$10)))</x:f>
      </x:c>
    </x:row>
    <x:row r="69">
      <x:c r="A69" s="34"/>
      <x:c r="B69" s="36"/>
      <x:c r="C69" s="72"/>
      <x:c r="D69" s="71"/>
      <x:c r="E69" s="41" t="str">
        <x:f>IF(D69="","",D69+273.15)</x:f>
      </x:c>
      <x:c r="F69" s="44" t="str">
        <x:f>IF(OR(C69="",D69="",C68=""),"",(C69-C68)/60)</x:f>
      </x:c>
      <x:c r="G69" s="44" t="str">
        <x:f>IF(D69="","",EXP(-Configuracion!$B$4/Configuracion!$B$5*(1/AVERAGE(E68:E69)-1/(Configuracion!$B$3+273.15))))</x:f>
      </x:c>
      <x:c r="H69" s="44" t="str">
        <x:f>IF(D69="","",F69*G69)</x:f>
      </x:c>
      <x:c r="I69" s="44" t="str">
        <x:f>IF(D69="","",I68+H69)</x:f>
      </x:c>
      <x:c r="J69" s="46" t="str">
        <x:f>IF(D69="","",MIN(1,I69/Configuracion!$B$11))</x:f>
      </x:c>
      <x:c r="K69" s="48" t="str">
        <x:f>IF(D69="","",MAX(0,(Configuracion!$B$11-I69)/G69))</x:f>
      </x:c>
      <x:c r="L69" s="73" t="str">
        <x:f>IF(D69="","",C69+K69*60)</x:f>
      </x:c>
      <x:c r="M69" t="str">
        <x:f>IF(D69="","",IF(J69&gt;=Configuracion!$B$13,"DESLIZAR",IF(J69&gt;=Configuracion!$B$12,"PREPARARSE","NO DESLIZAR")))</x:f>
      </x:c>
      <x:c r="N69" s="41" t="str">
        <x:f>IF(D69="","",D69-$D$8)</x:f>
      </x:c>
      <x:c r="O69" s="46" t="str">
        <x:f>IF(D69="","",MAX(0,MIN(1,N69/Configuracion!$B$10)))</x:f>
      </x:c>
    </x:row>
    <x:row r="70">
      <x:c r="A70" s="34"/>
      <x:c r="B70" s="36"/>
      <x:c r="C70" s="72"/>
      <x:c r="D70" s="71"/>
      <x:c r="E70" s="41" t="str">
        <x:f>IF(D70="","",D70+273.15)</x:f>
      </x:c>
      <x:c r="F70" s="44" t="str">
        <x:f>IF(OR(C70="",D70="",C69=""),"",(C70-C69)/60)</x:f>
      </x:c>
      <x:c r="G70" s="44" t="str">
        <x:f>IF(D70="","",EXP(-Configuracion!$B$4/Configuracion!$B$5*(1/AVERAGE(E69:E70)-1/(Configuracion!$B$3+273.15))))</x:f>
      </x:c>
      <x:c r="H70" s="44" t="str">
        <x:f>IF(D70="","",F70*G70)</x:f>
      </x:c>
      <x:c r="I70" s="44" t="str">
        <x:f>IF(D70="","",I69+H70)</x:f>
      </x:c>
      <x:c r="J70" s="46" t="str">
        <x:f>IF(D70="","",MIN(1,I70/Configuracion!$B$11))</x:f>
      </x:c>
      <x:c r="K70" s="48" t="str">
        <x:f>IF(D70="","",MAX(0,(Configuracion!$B$11-I70)/G70))</x:f>
      </x:c>
      <x:c r="L70" s="73" t="str">
        <x:f>IF(D70="","",C70+K70*60)</x:f>
      </x:c>
      <x:c r="M70" t="str">
        <x:f>IF(D70="","",IF(J70&gt;=Configuracion!$B$13,"DESLIZAR",IF(J70&gt;=Configuracion!$B$12,"PREPARARSE","NO DESLIZAR")))</x:f>
      </x:c>
      <x:c r="N70" s="41" t="str">
        <x:f>IF(D70="","",D70-$D$8)</x:f>
      </x:c>
      <x:c r="O70" s="46" t="str">
        <x:f>IF(D70="","",MAX(0,MIN(1,N70/Configuracion!$B$10)))</x:f>
      </x:c>
    </x:row>
    <x:row r="71">
      <x:c r="A71" s="34"/>
      <x:c r="B71" s="36"/>
      <x:c r="C71" s="72"/>
      <x:c r="D71" s="71"/>
      <x:c r="E71" s="41" t="str">
        <x:f>IF(D71="","",D71+273.15)</x:f>
      </x:c>
      <x:c r="F71" s="44" t="str">
        <x:f>IF(OR(C71="",D71="",C70=""),"",(C71-C70)/60)</x:f>
      </x:c>
      <x:c r="G71" s="44" t="str">
        <x:f>IF(D71="","",EXP(-Configuracion!$B$4/Configuracion!$B$5*(1/AVERAGE(E70:E71)-1/(Configuracion!$B$3+273.15))))</x:f>
      </x:c>
      <x:c r="H71" s="44" t="str">
        <x:f>IF(D71="","",F71*G71)</x:f>
      </x:c>
      <x:c r="I71" s="44" t="str">
        <x:f>IF(D71="","",I70+H71)</x:f>
      </x:c>
      <x:c r="J71" s="46" t="str">
        <x:f>IF(D71="","",MIN(1,I71/Configuracion!$B$11))</x:f>
      </x:c>
      <x:c r="K71" s="48" t="str">
        <x:f>IF(D71="","",MAX(0,(Configuracion!$B$11-I71)/G71))</x:f>
      </x:c>
      <x:c r="L71" s="73" t="str">
        <x:f>IF(D71="","",C71+K71*60)</x:f>
      </x:c>
      <x:c r="M71" t="str">
        <x:f>IF(D71="","",IF(J71&gt;=Configuracion!$B$13,"DESLIZAR",IF(J71&gt;=Configuracion!$B$12,"PREPARARSE","NO DESLIZAR")))</x:f>
      </x:c>
      <x:c r="N71" s="41" t="str">
        <x:f>IF(D71="","",D71-$D$8)</x:f>
      </x:c>
      <x:c r="O71" s="46" t="str">
        <x:f>IF(D71="","",MAX(0,MIN(1,N71/Configuracion!$B$10)))</x:f>
      </x:c>
    </x:row>
    <x:row r="72">
      <x:c r="A72" s="34"/>
      <x:c r="B72" s="36"/>
      <x:c r="C72" s="72"/>
      <x:c r="D72" s="71"/>
      <x:c r="E72" s="41" t="str">
        <x:f>IF(D72="","",D72+273.15)</x:f>
      </x:c>
      <x:c r="F72" s="44" t="str">
        <x:f>IF(OR(C72="",D72="",C71=""),"",(C72-C71)/60)</x:f>
      </x:c>
      <x:c r="G72" s="44" t="str">
        <x:f>IF(D72="","",EXP(-Configuracion!$B$4/Configuracion!$B$5*(1/AVERAGE(E71:E72)-1/(Configuracion!$B$3+273.15))))</x:f>
      </x:c>
      <x:c r="H72" s="44" t="str">
        <x:f>IF(D72="","",F72*G72)</x:f>
      </x:c>
      <x:c r="I72" s="44" t="str">
        <x:f>IF(D72="","",I71+H72)</x:f>
      </x:c>
      <x:c r="J72" s="46" t="str">
        <x:f>IF(D72="","",MIN(1,I72/Configuracion!$B$11))</x:f>
      </x:c>
      <x:c r="K72" s="48" t="str">
        <x:f>IF(D72="","",MAX(0,(Configuracion!$B$11-I72)/G72))</x:f>
      </x:c>
      <x:c r="L72" s="73" t="str">
        <x:f>IF(D72="","",C72+K72*60)</x:f>
      </x:c>
      <x:c r="M72" t="str">
        <x:f>IF(D72="","",IF(J72&gt;=Configuracion!$B$13,"DESLIZAR",IF(J72&gt;=Configuracion!$B$12,"PREPARARSE","NO DESLIZAR")))</x:f>
      </x:c>
      <x:c r="N72" s="41" t="str">
        <x:f>IF(D72="","",D72-$D$8)</x:f>
      </x:c>
      <x:c r="O72" s="46" t="str">
        <x:f>IF(D72="","",MAX(0,MIN(1,N72/Configuracion!$B$10)))</x:f>
      </x:c>
    </x:row>
    <x:row r="73">
      <x:c r="A73" s="34"/>
      <x:c r="B73" s="36"/>
      <x:c r="C73" s="72"/>
      <x:c r="D73" s="71"/>
      <x:c r="E73" s="41" t="str">
        <x:f>IF(D73="","",D73+273.15)</x:f>
      </x:c>
      <x:c r="F73" s="44" t="str">
        <x:f>IF(OR(C73="",D73="",C72=""),"",(C73-C72)/60)</x:f>
      </x:c>
      <x:c r="G73" s="44" t="str">
        <x:f>IF(D73="","",EXP(-Configuracion!$B$4/Configuracion!$B$5*(1/AVERAGE(E72:E73)-1/(Configuracion!$B$3+273.15))))</x:f>
      </x:c>
      <x:c r="H73" s="44" t="str">
        <x:f>IF(D73="","",F73*G73)</x:f>
      </x:c>
      <x:c r="I73" s="44" t="str">
        <x:f>IF(D73="","",I72+H73)</x:f>
      </x:c>
      <x:c r="J73" s="46" t="str">
        <x:f>IF(D73="","",MIN(1,I73/Configuracion!$B$11))</x:f>
      </x:c>
      <x:c r="K73" s="48" t="str">
        <x:f>IF(D73="","",MAX(0,(Configuracion!$B$11-I73)/G73))</x:f>
      </x:c>
      <x:c r="L73" s="73" t="str">
        <x:f>IF(D73="","",C73+K73*60)</x:f>
      </x:c>
      <x:c r="M73" t="str">
        <x:f>IF(D73="","",IF(J73&gt;=Configuracion!$B$13,"DESLIZAR",IF(J73&gt;=Configuracion!$B$12,"PREPARARSE","NO DESLIZAR")))</x:f>
      </x:c>
      <x:c r="N73" s="41" t="str">
        <x:f>IF(D73="","",D73-$D$8)</x:f>
      </x:c>
      <x:c r="O73" s="46" t="str">
        <x:f>IF(D73="","",MAX(0,MIN(1,N73/Configuracion!$B$10)))</x:f>
      </x:c>
    </x:row>
    <x:row r="74">
      <x:c r="A74" s="34"/>
      <x:c r="B74" s="36"/>
      <x:c r="C74" s="72"/>
      <x:c r="D74" s="71"/>
      <x:c r="E74" s="41" t="str">
        <x:f>IF(D74="","",D74+273.15)</x:f>
      </x:c>
      <x:c r="F74" s="44" t="str">
        <x:f>IF(OR(C74="",D74="",C73=""),"",(C74-C73)/60)</x:f>
      </x:c>
      <x:c r="G74" s="44" t="str">
        <x:f>IF(D74="","",EXP(-Configuracion!$B$4/Configuracion!$B$5*(1/AVERAGE(E73:E74)-1/(Configuracion!$B$3+273.15))))</x:f>
      </x:c>
      <x:c r="H74" s="44" t="str">
        <x:f>IF(D74="","",F74*G74)</x:f>
      </x:c>
      <x:c r="I74" s="44" t="str">
        <x:f>IF(D74="","",I73+H74)</x:f>
      </x:c>
      <x:c r="J74" s="46" t="str">
        <x:f>IF(D74="","",MIN(1,I74/Configuracion!$B$11))</x:f>
      </x:c>
      <x:c r="K74" s="48" t="str">
        <x:f>IF(D74="","",MAX(0,(Configuracion!$B$11-I74)/G74))</x:f>
      </x:c>
      <x:c r="L74" s="73" t="str">
        <x:f>IF(D74="","",C74+K74*60)</x:f>
      </x:c>
      <x:c r="M74" t="str">
        <x:f>IF(D74="","",IF(J74&gt;=Configuracion!$B$13,"DESLIZAR",IF(J74&gt;=Configuracion!$B$12,"PREPARARSE","NO DESLIZAR")))</x:f>
      </x:c>
      <x:c r="N74" s="41" t="str">
        <x:f>IF(D74="","",D74-$D$8)</x:f>
      </x:c>
      <x:c r="O74" s="46" t="str">
        <x:f>IF(D74="","",MAX(0,MIN(1,N74/Configuracion!$B$10)))</x:f>
      </x:c>
    </x:row>
    <x:row r="75">
      <x:c r="A75" s="34"/>
      <x:c r="B75" s="36"/>
      <x:c r="C75" s="72"/>
      <x:c r="D75" s="71"/>
      <x:c r="E75" s="41" t="str">
        <x:f>IF(D75="","",D75+273.15)</x:f>
      </x:c>
      <x:c r="F75" s="44" t="str">
        <x:f>IF(OR(C75="",D75="",C74=""),"",(C75-C74)/60)</x:f>
      </x:c>
      <x:c r="G75" s="44" t="str">
        <x:f>IF(D75="","",EXP(-Configuracion!$B$4/Configuracion!$B$5*(1/AVERAGE(E74:E75)-1/(Configuracion!$B$3+273.15))))</x:f>
      </x:c>
      <x:c r="H75" s="44" t="str">
        <x:f>IF(D75="","",F75*G75)</x:f>
      </x:c>
      <x:c r="I75" s="44" t="str">
        <x:f>IF(D75="","",I74+H75)</x:f>
      </x:c>
      <x:c r="J75" s="46" t="str">
        <x:f>IF(D75="","",MIN(1,I75/Configuracion!$B$11))</x:f>
      </x:c>
      <x:c r="K75" s="48" t="str">
        <x:f>IF(D75="","",MAX(0,(Configuracion!$B$11-I75)/G75))</x:f>
      </x:c>
      <x:c r="L75" s="73" t="str">
        <x:f>IF(D75="","",C75+K75*60)</x:f>
      </x:c>
      <x:c r="M75" t="str">
        <x:f>IF(D75="","",IF(J75&gt;=Configuracion!$B$13,"DESLIZAR",IF(J75&gt;=Configuracion!$B$12,"PREPARARSE","NO DESLIZAR")))</x:f>
      </x:c>
      <x:c r="N75" s="41" t="str">
        <x:f>IF(D75="","",D75-$D$8)</x:f>
      </x:c>
      <x:c r="O75" s="46" t="str">
        <x:f>IF(D75="","",MAX(0,MIN(1,N75/Configuracion!$B$10)))</x:f>
      </x:c>
    </x:row>
    <x:row r="76">
      <x:c r="A76" s="34"/>
      <x:c r="B76" s="36"/>
      <x:c r="C76" s="72"/>
      <x:c r="D76" s="71"/>
      <x:c r="E76" s="41" t="str">
        <x:f>IF(D76="","",D76+273.15)</x:f>
      </x:c>
      <x:c r="F76" s="44" t="str">
        <x:f>IF(OR(C76="",D76="",C75=""),"",(C76-C75)/60)</x:f>
      </x:c>
      <x:c r="G76" s="44" t="str">
        <x:f>IF(D76="","",EXP(-Configuracion!$B$4/Configuracion!$B$5*(1/AVERAGE(E75:E76)-1/(Configuracion!$B$3+273.15))))</x:f>
      </x:c>
      <x:c r="H76" s="44" t="str">
        <x:f>IF(D76="","",F76*G76)</x:f>
      </x:c>
      <x:c r="I76" s="44" t="str">
        <x:f>IF(D76="","",I75+H76)</x:f>
      </x:c>
      <x:c r="J76" s="46" t="str">
        <x:f>IF(D76="","",MIN(1,I76/Configuracion!$B$11))</x:f>
      </x:c>
      <x:c r="K76" s="48" t="str">
        <x:f>IF(D76="","",MAX(0,(Configuracion!$B$11-I76)/G76))</x:f>
      </x:c>
      <x:c r="L76" s="73" t="str">
        <x:f>IF(D76="","",C76+K76*60)</x:f>
      </x:c>
      <x:c r="M76" t="str">
        <x:f>IF(D76="","",IF(J76&gt;=Configuracion!$B$13,"DESLIZAR",IF(J76&gt;=Configuracion!$B$12,"PREPARARSE","NO DESLIZAR")))</x:f>
      </x:c>
      <x:c r="N76" s="41" t="str">
        <x:f>IF(D76="","",D76-$D$8)</x:f>
      </x:c>
      <x:c r="O76" s="46" t="str">
        <x:f>IF(D76="","",MAX(0,MIN(1,N76/Configuracion!$B$10)))</x:f>
      </x:c>
    </x:row>
    <x:row r="77">
      <x:c r="A77" s="34"/>
      <x:c r="B77" s="36"/>
      <x:c r="C77" s="72"/>
      <x:c r="D77" s="71"/>
      <x:c r="E77" s="41" t="str">
        <x:f>IF(D77="","",D77+273.15)</x:f>
      </x:c>
      <x:c r="F77" s="44" t="str">
        <x:f>IF(OR(C77="",D77="",C76=""),"",(C77-C76)/60)</x:f>
      </x:c>
      <x:c r="G77" s="44" t="str">
        <x:f>IF(D77="","",EXP(-Configuracion!$B$4/Configuracion!$B$5*(1/AVERAGE(E76:E77)-1/(Configuracion!$B$3+273.15))))</x:f>
      </x:c>
      <x:c r="H77" s="44" t="str">
        <x:f>IF(D77="","",F77*G77)</x:f>
      </x:c>
      <x:c r="I77" s="44" t="str">
        <x:f>IF(D77="","",I76+H77)</x:f>
      </x:c>
      <x:c r="J77" s="46" t="str">
        <x:f>IF(D77="","",MIN(1,I77/Configuracion!$B$11))</x:f>
      </x:c>
      <x:c r="K77" s="48" t="str">
        <x:f>IF(D77="","",MAX(0,(Configuracion!$B$11-I77)/G77))</x:f>
      </x:c>
      <x:c r="L77" s="73" t="str">
        <x:f>IF(D77="","",C77+K77*60)</x:f>
      </x:c>
      <x:c r="M77" t="str">
        <x:f>IF(D77="","",IF(J77&gt;=Configuracion!$B$13,"DESLIZAR",IF(J77&gt;=Configuracion!$B$12,"PREPARARSE","NO DESLIZAR")))</x:f>
      </x:c>
      <x:c r="N77" s="41" t="str">
        <x:f>IF(D77="","",D77-$D$8)</x:f>
      </x:c>
      <x:c r="O77" s="46" t="str">
        <x:f>IF(D77="","",MAX(0,MIN(1,N77/Configuracion!$B$10)))</x:f>
      </x:c>
    </x:row>
    <x:row r="78">
      <x:c r="A78" s="34"/>
      <x:c r="B78" s="36"/>
      <x:c r="C78" s="72"/>
      <x:c r="D78" s="71"/>
      <x:c r="E78" s="41" t="str">
        <x:f>IF(D78="","",D78+273.15)</x:f>
      </x:c>
      <x:c r="F78" s="44" t="str">
        <x:f>IF(OR(C78="",D78="",C77=""),"",(C78-C77)/60)</x:f>
      </x:c>
      <x:c r="G78" s="44" t="str">
        <x:f>IF(D78="","",EXP(-Configuracion!$B$4/Configuracion!$B$5*(1/AVERAGE(E77:E78)-1/(Configuracion!$B$3+273.15))))</x:f>
      </x:c>
      <x:c r="H78" s="44" t="str">
        <x:f>IF(D78="","",F78*G78)</x:f>
      </x:c>
      <x:c r="I78" s="44" t="str">
        <x:f>IF(D78="","",I77+H78)</x:f>
      </x:c>
      <x:c r="J78" s="46" t="str">
        <x:f>IF(D78="","",MIN(1,I78/Configuracion!$B$11))</x:f>
      </x:c>
      <x:c r="K78" s="48" t="str">
        <x:f>IF(D78="","",MAX(0,(Configuracion!$B$11-I78)/G78))</x:f>
      </x:c>
      <x:c r="L78" s="73" t="str">
        <x:f>IF(D78="","",C78+K78*60)</x:f>
      </x:c>
      <x:c r="M78" t="str">
        <x:f>IF(D78="","",IF(J78&gt;=Configuracion!$B$13,"DESLIZAR",IF(J78&gt;=Configuracion!$B$12,"PREPARARSE","NO DESLIZAR")))</x:f>
      </x:c>
      <x:c r="N78" s="41" t="str">
        <x:f>IF(D78="","",D78-$D$8)</x:f>
      </x:c>
      <x:c r="O78" s="46" t="str">
        <x:f>IF(D78="","",MAX(0,MIN(1,N78/Configuracion!$B$10)))</x:f>
      </x:c>
    </x:row>
    <x:row r="79">
      <x:c r="A79" s="34"/>
      <x:c r="B79" s="36"/>
      <x:c r="C79" s="72"/>
      <x:c r="D79" s="71"/>
      <x:c r="E79" s="41" t="str">
        <x:f>IF(D79="","",D79+273.15)</x:f>
      </x:c>
      <x:c r="F79" s="44" t="str">
        <x:f>IF(OR(C79="",D79="",C78=""),"",(C79-C78)/60)</x:f>
      </x:c>
      <x:c r="G79" s="44" t="str">
        <x:f>IF(D79="","",EXP(-Configuracion!$B$4/Configuracion!$B$5*(1/AVERAGE(E78:E79)-1/(Configuracion!$B$3+273.15))))</x:f>
      </x:c>
      <x:c r="H79" s="44" t="str">
        <x:f>IF(D79="","",F79*G79)</x:f>
      </x:c>
      <x:c r="I79" s="44" t="str">
        <x:f>IF(D79="","",I78+H79)</x:f>
      </x:c>
      <x:c r="J79" s="46" t="str">
        <x:f>IF(D79="","",MIN(1,I79/Configuracion!$B$11))</x:f>
      </x:c>
      <x:c r="K79" s="48" t="str">
        <x:f>IF(D79="","",MAX(0,(Configuracion!$B$11-I79)/G79))</x:f>
      </x:c>
      <x:c r="L79" s="73" t="str">
        <x:f>IF(D79="","",C79+K79*60)</x:f>
      </x:c>
      <x:c r="M79" t="str">
        <x:f>IF(D79="","",IF(J79&gt;=Configuracion!$B$13,"DESLIZAR",IF(J79&gt;=Configuracion!$B$12,"PREPARARSE","NO DESLIZAR")))</x:f>
      </x:c>
      <x:c r="N79" s="41" t="str">
        <x:f>IF(D79="","",D79-$D$8)</x:f>
      </x:c>
      <x:c r="O79" s="46" t="str">
        <x:f>IF(D79="","",MAX(0,MIN(1,N79/Configuracion!$B$10)))</x:f>
      </x:c>
    </x:row>
    <x:row r="80">
      <x:c r="A80" s="34"/>
      <x:c r="B80" s="36"/>
      <x:c r="C80" s="72"/>
      <x:c r="D80" s="71"/>
      <x:c r="E80" s="41" t="str">
        <x:f>IF(D80="","",D80+273.15)</x:f>
      </x:c>
      <x:c r="F80" s="44" t="str">
        <x:f>IF(OR(C80="",D80="",C79=""),"",(C80-C79)/60)</x:f>
      </x:c>
      <x:c r="G80" s="44" t="str">
        <x:f>IF(D80="","",EXP(-Configuracion!$B$4/Configuracion!$B$5*(1/AVERAGE(E79:E80)-1/(Configuracion!$B$3+273.15))))</x:f>
      </x:c>
      <x:c r="H80" s="44" t="str">
        <x:f>IF(D80="","",F80*G80)</x:f>
      </x:c>
      <x:c r="I80" s="44" t="str">
        <x:f>IF(D80="","",I79+H80)</x:f>
      </x:c>
      <x:c r="J80" s="46" t="str">
        <x:f>IF(D80="","",MIN(1,I80/Configuracion!$B$11))</x:f>
      </x:c>
      <x:c r="K80" s="48" t="str">
        <x:f>IF(D80="","",MAX(0,(Configuracion!$B$11-I80)/G80))</x:f>
      </x:c>
      <x:c r="L80" s="73" t="str">
        <x:f>IF(D80="","",C80+K80*60)</x:f>
      </x:c>
      <x:c r="M80" t="str">
        <x:f>IF(D80="","",IF(J80&gt;=Configuracion!$B$13,"DESLIZAR",IF(J80&gt;=Configuracion!$B$12,"PREPARARSE","NO DESLIZAR")))</x:f>
      </x:c>
      <x:c r="N80" s="41" t="str">
        <x:f>IF(D80="","",D80-$D$8)</x:f>
      </x:c>
      <x:c r="O80" s="46" t="str">
        <x:f>IF(D80="","",MAX(0,MIN(1,N80/Configuracion!$B$10)))</x:f>
      </x:c>
    </x:row>
    <x:row r="81">
      <x:c r="A81" s="34"/>
      <x:c r="B81" s="36"/>
      <x:c r="C81" s="72"/>
      <x:c r="D81" s="71"/>
      <x:c r="E81" s="41" t="str">
        <x:f>IF(D81="","",D81+273.15)</x:f>
      </x:c>
      <x:c r="F81" s="44" t="str">
        <x:f>IF(OR(C81="",D81="",C80=""),"",(C81-C80)/60)</x:f>
      </x:c>
      <x:c r="G81" s="44" t="str">
        <x:f>IF(D81="","",EXP(-Configuracion!$B$4/Configuracion!$B$5*(1/AVERAGE(E80:E81)-1/(Configuracion!$B$3+273.15))))</x:f>
      </x:c>
      <x:c r="H81" s="44" t="str">
        <x:f>IF(D81="","",F81*G81)</x:f>
      </x:c>
      <x:c r="I81" s="44" t="str">
        <x:f>IF(D81="","",I80+H81)</x:f>
      </x:c>
      <x:c r="J81" s="46" t="str">
        <x:f>IF(D81="","",MIN(1,I81/Configuracion!$B$11))</x:f>
      </x:c>
      <x:c r="K81" s="48" t="str">
        <x:f>IF(D81="","",MAX(0,(Configuracion!$B$11-I81)/G81))</x:f>
      </x:c>
      <x:c r="L81" s="73" t="str">
        <x:f>IF(D81="","",C81+K81*60)</x:f>
      </x:c>
      <x:c r="M81" t="str">
        <x:f>IF(D81="","",IF(J81&gt;=Configuracion!$B$13,"DESLIZAR",IF(J81&gt;=Configuracion!$B$12,"PREPARARSE","NO DESLIZAR")))</x:f>
      </x:c>
      <x:c r="N81" s="41" t="str">
        <x:f>IF(D81="","",D81-$D$8)</x:f>
      </x:c>
      <x:c r="O81" s="46" t="str">
        <x:f>IF(D81="","",MAX(0,MIN(1,N81/Configuracion!$B$10)))</x:f>
      </x:c>
    </x:row>
    <x:row r="82">
      <x:c r="A82" s="34"/>
      <x:c r="B82" s="36"/>
      <x:c r="C82" s="72"/>
      <x:c r="D82" s="71"/>
      <x:c r="E82" s="41" t="str">
        <x:f>IF(D82="","",D82+273.15)</x:f>
      </x:c>
      <x:c r="F82" s="44" t="str">
        <x:f>IF(OR(C82="",D82="",C81=""),"",(C82-C81)/60)</x:f>
      </x:c>
      <x:c r="G82" s="44" t="str">
        <x:f>IF(D82="","",EXP(-Configuracion!$B$4/Configuracion!$B$5*(1/AVERAGE(E81:E82)-1/(Configuracion!$B$3+273.15))))</x:f>
      </x:c>
      <x:c r="H82" s="44" t="str">
        <x:f>IF(D82="","",F82*G82)</x:f>
      </x:c>
      <x:c r="I82" s="44" t="str">
        <x:f>IF(D82="","",I81+H82)</x:f>
      </x:c>
      <x:c r="J82" s="46" t="str">
        <x:f>IF(D82="","",MIN(1,I82/Configuracion!$B$11))</x:f>
      </x:c>
      <x:c r="K82" s="48" t="str">
        <x:f>IF(D82="","",MAX(0,(Configuracion!$B$11-I82)/G82))</x:f>
      </x:c>
      <x:c r="L82" s="73" t="str">
        <x:f>IF(D82="","",C82+K82*60)</x:f>
      </x:c>
      <x:c r="M82" t="str">
        <x:f>IF(D82="","",IF(J82&gt;=Configuracion!$B$13,"DESLIZAR",IF(J82&gt;=Configuracion!$B$12,"PREPARARSE","NO DESLIZAR")))</x:f>
      </x:c>
      <x:c r="N82" s="41" t="str">
        <x:f>IF(D82="","",D82-$D$8)</x:f>
      </x:c>
      <x:c r="O82" s="46" t="str">
        <x:f>IF(D82="","",MAX(0,MIN(1,N82/Configuracion!$B$10)))</x:f>
      </x:c>
    </x:row>
    <x:row r="83">
      <x:c r="A83" s="34"/>
      <x:c r="B83" s="36"/>
      <x:c r="C83" s="72"/>
      <x:c r="D83" s="71"/>
      <x:c r="E83" s="41" t="str">
        <x:f>IF(D83="","",D83+273.15)</x:f>
      </x:c>
      <x:c r="F83" s="44" t="str">
        <x:f>IF(OR(C83="",D83="",C82=""),"",(C83-C82)/60)</x:f>
      </x:c>
      <x:c r="G83" s="44" t="str">
        <x:f>IF(D83="","",EXP(-Configuracion!$B$4/Configuracion!$B$5*(1/AVERAGE(E82:E83)-1/(Configuracion!$B$3+273.15))))</x:f>
      </x:c>
      <x:c r="H83" s="44" t="str">
        <x:f>IF(D83="","",F83*G83)</x:f>
      </x:c>
      <x:c r="I83" s="44" t="str">
        <x:f>IF(D83="","",I82+H83)</x:f>
      </x:c>
      <x:c r="J83" s="46" t="str">
        <x:f>IF(D83="","",MIN(1,I83/Configuracion!$B$11))</x:f>
      </x:c>
      <x:c r="K83" s="48" t="str">
        <x:f>IF(D83="","",MAX(0,(Configuracion!$B$11-I83)/G83))</x:f>
      </x:c>
      <x:c r="L83" s="73" t="str">
        <x:f>IF(D83="","",C83+K83*60)</x:f>
      </x:c>
      <x:c r="M83" t="str">
        <x:f>IF(D83="","",IF(J83&gt;=Configuracion!$B$13,"DESLIZAR",IF(J83&gt;=Configuracion!$B$12,"PREPARARSE","NO DESLIZAR")))</x:f>
      </x:c>
      <x:c r="N83" s="41" t="str">
        <x:f>IF(D83="","",D83-$D$8)</x:f>
      </x:c>
      <x:c r="O83" s="46" t="str">
        <x:f>IF(D83="","",MAX(0,MIN(1,N83/Configuracion!$B$10)))</x:f>
      </x:c>
    </x:row>
    <x:row r="84">
      <x:c r="A84" s="34"/>
      <x:c r="B84" s="36"/>
      <x:c r="C84" s="72"/>
      <x:c r="D84" s="71"/>
      <x:c r="E84" s="41" t="str">
        <x:f>IF(D84="","",D84+273.15)</x:f>
      </x:c>
      <x:c r="F84" s="44" t="str">
        <x:f>IF(OR(C84="",D84="",C83=""),"",(C84-C83)/60)</x:f>
      </x:c>
      <x:c r="G84" s="44" t="str">
        <x:f>IF(D84="","",EXP(-Configuracion!$B$4/Configuracion!$B$5*(1/AVERAGE(E83:E84)-1/(Configuracion!$B$3+273.15))))</x:f>
      </x:c>
      <x:c r="H84" s="44" t="str">
        <x:f>IF(D84="","",F84*G84)</x:f>
      </x:c>
      <x:c r="I84" s="44" t="str">
        <x:f>IF(D84="","",I83+H84)</x:f>
      </x:c>
      <x:c r="J84" s="46" t="str">
        <x:f>IF(D84="","",MIN(1,I84/Configuracion!$B$11))</x:f>
      </x:c>
      <x:c r="K84" s="48" t="str">
        <x:f>IF(D84="","",MAX(0,(Configuracion!$B$11-I84)/G84))</x:f>
      </x:c>
      <x:c r="L84" s="73" t="str">
        <x:f>IF(D84="","",C84+K84*60)</x:f>
      </x:c>
      <x:c r="M84" t="str">
        <x:f>IF(D84="","",IF(J84&gt;=Configuracion!$B$13,"DESLIZAR",IF(J84&gt;=Configuracion!$B$12,"PREPARARSE","NO DESLIZAR")))</x:f>
      </x:c>
      <x:c r="N84" s="41" t="str">
        <x:f>IF(D84="","",D84-$D$8)</x:f>
      </x:c>
      <x:c r="O84" s="46" t="str">
        <x:f>IF(D84="","",MAX(0,MIN(1,N84/Configuracion!$B$10)))</x:f>
      </x:c>
    </x:row>
    <x:row r="85">
      <x:c r="A85" s="34"/>
      <x:c r="B85" s="36"/>
      <x:c r="C85" s="72"/>
      <x:c r="D85" s="71"/>
      <x:c r="E85" s="41" t="str">
        <x:f>IF(D85="","",D85+273.15)</x:f>
      </x:c>
      <x:c r="F85" s="44" t="str">
        <x:f>IF(OR(C85="",D85="",C84=""),"",(C85-C84)/60)</x:f>
      </x:c>
      <x:c r="G85" s="44" t="str">
        <x:f>IF(D85="","",EXP(-Configuracion!$B$4/Configuracion!$B$5*(1/AVERAGE(E84:E85)-1/(Configuracion!$B$3+273.15))))</x:f>
      </x:c>
      <x:c r="H85" s="44" t="str">
        <x:f>IF(D85="","",F85*G85)</x:f>
      </x:c>
      <x:c r="I85" s="44" t="str">
        <x:f>IF(D85="","",I84+H85)</x:f>
      </x:c>
      <x:c r="J85" s="46" t="str">
        <x:f>IF(D85="","",MIN(1,I85/Configuracion!$B$11))</x:f>
      </x:c>
      <x:c r="K85" s="48" t="str">
        <x:f>IF(D85="","",MAX(0,(Configuracion!$B$11-I85)/G85))</x:f>
      </x:c>
      <x:c r="L85" s="73" t="str">
        <x:f>IF(D85="","",C85+K85*60)</x:f>
      </x:c>
      <x:c r="M85" t="str">
        <x:f>IF(D85="","",IF(J85&gt;=Configuracion!$B$13,"DESLIZAR",IF(J85&gt;=Configuracion!$B$12,"PREPARARSE","NO DESLIZAR")))</x:f>
      </x:c>
      <x:c r="N85" s="41" t="str">
        <x:f>IF(D85="","",D85-$D$8)</x:f>
      </x:c>
      <x:c r="O85" s="46" t="str">
        <x:f>IF(D85="","",MAX(0,MIN(1,N85/Configuracion!$B$10)))</x:f>
      </x:c>
    </x:row>
    <x:row r="86">
      <x:c r="A86" s="34"/>
      <x:c r="B86" s="36"/>
      <x:c r="C86" s="72"/>
      <x:c r="D86" s="71"/>
      <x:c r="E86" s="41" t="str">
        <x:f>IF(D86="","",D86+273.15)</x:f>
      </x:c>
      <x:c r="F86" s="44" t="str">
        <x:f>IF(OR(C86="",D86="",C85=""),"",(C86-C85)/60)</x:f>
      </x:c>
      <x:c r="G86" s="44" t="str">
        <x:f>IF(D86="","",EXP(-Configuracion!$B$4/Configuracion!$B$5*(1/AVERAGE(E85:E86)-1/(Configuracion!$B$3+273.15))))</x:f>
      </x:c>
      <x:c r="H86" s="44" t="str">
        <x:f>IF(D86="","",F86*G86)</x:f>
      </x:c>
      <x:c r="I86" s="44" t="str">
        <x:f>IF(D86="","",I85+H86)</x:f>
      </x:c>
      <x:c r="J86" s="46" t="str">
        <x:f>IF(D86="","",MIN(1,I86/Configuracion!$B$11))</x:f>
      </x:c>
      <x:c r="K86" s="48" t="str">
        <x:f>IF(D86="","",MAX(0,(Configuracion!$B$11-I86)/G86))</x:f>
      </x:c>
      <x:c r="L86" s="73" t="str">
        <x:f>IF(D86="","",C86+K86*60)</x:f>
      </x:c>
      <x:c r="M86" t="str">
        <x:f>IF(D86="","",IF(J86&gt;=Configuracion!$B$13,"DESLIZAR",IF(J86&gt;=Configuracion!$B$12,"PREPARARSE","NO DESLIZAR")))</x:f>
      </x:c>
      <x:c r="N86" s="41" t="str">
        <x:f>IF(D86="","",D86-$D$8)</x:f>
      </x:c>
      <x:c r="O86" s="46" t="str">
        <x:f>IF(D86="","",MAX(0,MIN(1,N86/Configuracion!$B$10)))</x:f>
      </x:c>
    </x:row>
    <x:row r="87">
      <x:c r="A87" s="34"/>
      <x:c r="B87" s="36"/>
      <x:c r="C87" s="72"/>
      <x:c r="D87" s="71"/>
      <x:c r="E87" s="41" t="str">
        <x:f>IF(D87="","",D87+273.15)</x:f>
      </x:c>
      <x:c r="F87" s="44" t="str">
        <x:f>IF(OR(C87="",D87="",C86=""),"",(C87-C86)/60)</x:f>
      </x:c>
      <x:c r="G87" s="44" t="str">
        <x:f>IF(D87="","",EXP(-Configuracion!$B$4/Configuracion!$B$5*(1/AVERAGE(E86:E87)-1/(Configuracion!$B$3+273.15))))</x:f>
      </x:c>
      <x:c r="H87" s="44" t="str">
        <x:f>IF(D87="","",F87*G87)</x:f>
      </x:c>
      <x:c r="I87" s="44" t="str">
        <x:f>IF(D87="","",I86+H87)</x:f>
      </x:c>
      <x:c r="J87" s="46" t="str">
        <x:f>IF(D87="","",MIN(1,I87/Configuracion!$B$11))</x:f>
      </x:c>
      <x:c r="K87" s="48" t="str">
        <x:f>IF(D87="","",MAX(0,(Configuracion!$B$11-I87)/G87))</x:f>
      </x:c>
      <x:c r="L87" s="73" t="str">
        <x:f>IF(D87="","",C87+K87*60)</x:f>
      </x:c>
      <x:c r="M87" t="str">
        <x:f>IF(D87="","",IF(J87&gt;=Configuracion!$B$13,"DESLIZAR",IF(J87&gt;=Configuracion!$B$12,"PREPARARSE","NO DESLIZAR")))</x:f>
      </x:c>
      <x:c r="N87" s="41" t="str">
        <x:f>IF(D87="","",D87-$D$8)</x:f>
      </x:c>
      <x:c r="O87" s="46" t="str">
        <x:f>IF(D87="","",MAX(0,MIN(1,N87/Configuracion!$B$10)))</x:f>
      </x:c>
    </x:row>
    <x:row r="88">
      <x:c r="A88" s="34"/>
      <x:c r="B88" s="36"/>
      <x:c r="C88" s="72"/>
      <x:c r="D88" s="71"/>
      <x:c r="E88" s="41" t="str">
        <x:f>IF(D88="","",D88+273.15)</x:f>
      </x:c>
      <x:c r="F88" s="44" t="str">
        <x:f>IF(OR(C88="",D88="",C87=""),"",(C88-C87)/60)</x:f>
      </x:c>
      <x:c r="G88" s="44" t="str">
        <x:f>IF(D88="","",EXP(-Configuracion!$B$4/Configuracion!$B$5*(1/AVERAGE(E87:E88)-1/(Configuracion!$B$3+273.15))))</x:f>
      </x:c>
      <x:c r="H88" s="44" t="str">
        <x:f>IF(D88="","",F88*G88)</x:f>
      </x:c>
      <x:c r="I88" s="44" t="str">
        <x:f>IF(D88="","",I87+H88)</x:f>
      </x:c>
      <x:c r="J88" s="46" t="str">
        <x:f>IF(D88="","",MIN(1,I88/Configuracion!$B$11))</x:f>
      </x:c>
      <x:c r="K88" s="48" t="str">
        <x:f>IF(D88="","",MAX(0,(Configuracion!$B$11-I88)/G88))</x:f>
      </x:c>
      <x:c r="L88" s="73" t="str">
        <x:f>IF(D88="","",C88+K88*60)</x:f>
      </x:c>
      <x:c r="M88" t="str">
        <x:f>IF(D88="","",IF(J88&gt;=Configuracion!$B$13,"DESLIZAR",IF(J88&gt;=Configuracion!$B$12,"PREPARARSE","NO DESLIZAR")))</x:f>
      </x:c>
      <x:c r="N88" s="41" t="str">
        <x:f>IF(D88="","",D88-$D$8)</x:f>
      </x:c>
      <x:c r="O88" s="46" t="str">
        <x:f>IF(D88="","",MAX(0,MIN(1,N88/Configuracion!$B$10)))</x:f>
      </x:c>
    </x:row>
    <x:row r="89">
      <x:c r="A89" s="34"/>
      <x:c r="B89" s="36"/>
      <x:c r="C89" s="72"/>
      <x:c r="D89" s="71"/>
      <x:c r="E89" s="41" t="str">
        <x:f>IF(D89="","",D89+273.15)</x:f>
      </x:c>
      <x:c r="F89" s="44" t="str">
        <x:f>IF(OR(C89="",D89="",C88=""),"",(C89-C88)/60)</x:f>
      </x:c>
      <x:c r="G89" s="44" t="str">
        <x:f>IF(D89="","",EXP(-Configuracion!$B$4/Configuracion!$B$5*(1/AVERAGE(E88:E89)-1/(Configuracion!$B$3+273.15))))</x:f>
      </x:c>
      <x:c r="H89" s="44" t="str">
        <x:f>IF(D89="","",F89*G89)</x:f>
      </x:c>
      <x:c r="I89" s="44" t="str">
        <x:f>IF(D89="","",I88+H89)</x:f>
      </x:c>
      <x:c r="J89" s="46" t="str">
        <x:f>IF(D89="","",MIN(1,I89/Configuracion!$B$11))</x:f>
      </x:c>
      <x:c r="K89" s="48" t="str">
        <x:f>IF(D89="","",MAX(0,(Configuracion!$B$11-I89)/G89))</x:f>
      </x:c>
      <x:c r="L89" s="73" t="str">
        <x:f>IF(D89="","",C89+K89*60)</x:f>
      </x:c>
      <x:c r="M89" t="str">
        <x:f>IF(D89="","",IF(J89&gt;=Configuracion!$B$13,"DESLIZAR",IF(J89&gt;=Configuracion!$B$12,"PREPARARSE","NO DESLIZAR")))</x:f>
      </x:c>
      <x:c r="N89" s="41" t="str">
        <x:f>IF(D89="","",D89-$D$8)</x:f>
      </x:c>
      <x:c r="O89" s="46" t="str">
        <x:f>IF(D89="","",MAX(0,MIN(1,N89/Configuracion!$B$10)))</x:f>
      </x:c>
    </x:row>
    <x:row r="90">
      <x:c r="A90" s="34"/>
      <x:c r="B90" s="36"/>
      <x:c r="C90" s="72"/>
      <x:c r="D90" s="71"/>
      <x:c r="E90" s="41" t="str">
        <x:f>IF(D90="","",D90+273.15)</x:f>
      </x:c>
      <x:c r="F90" s="44" t="str">
        <x:f>IF(OR(C90="",D90="",C89=""),"",(C90-C89)/60)</x:f>
      </x:c>
      <x:c r="G90" s="44" t="str">
        <x:f>IF(D90="","",EXP(-Configuracion!$B$4/Configuracion!$B$5*(1/AVERAGE(E89:E90)-1/(Configuracion!$B$3+273.15))))</x:f>
      </x:c>
      <x:c r="H90" s="44" t="str">
        <x:f>IF(D90="","",F90*G90)</x:f>
      </x:c>
      <x:c r="I90" s="44" t="str">
        <x:f>IF(D90="","",I89+H90)</x:f>
      </x:c>
      <x:c r="J90" s="46" t="str">
        <x:f>IF(D90="","",MIN(1,I90/Configuracion!$B$11))</x:f>
      </x:c>
      <x:c r="K90" s="48" t="str">
        <x:f>IF(D90="","",MAX(0,(Configuracion!$B$11-I90)/G90))</x:f>
      </x:c>
      <x:c r="L90" s="73" t="str">
        <x:f>IF(D90="","",C90+K90*60)</x:f>
      </x:c>
      <x:c r="M90" t="str">
        <x:f>IF(D90="","",IF(J90&gt;=Configuracion!$B$13,"DESLIZAR",IF(J90&gt;=Configuracion!$B$12,"PREPARARSE","NO DESLIZAR")))</x:f>
      </x:c>
      <x:c r="N90" s="41" t="str">
        <x:f>IF(D90="","",D90-$D$8)</x:f>
      </x:c>
      <x:c r="O90" s="46" t="str">
        <x:f>IF(D90="","",MAX(0,MIN(1,N90/Configuracion!$B$10)))</x:f>
      </x:c>
    </x:row>
    <x:row r="91">
      <x:c r="A91" s="34"/>
      <x:c r="B91" s="36"/>
      <x:c r="C91" s="72"/>
      <x:c r="D91" s="71"/>
      <x:c r="E91" s="41" t="str">
        <x:f>IF(D91="","",D91+273.15)</x:f>
      </x:c>
      <x:c r="F91" s="44" t="str">
        <x:f>IF(OR(C91="",D91="",C90=""),"",(C91-C90)/60)</x:f>
      </x:c>
      <x:c r="G91" s="44" t="str">
        <x:f>IF(D91="","",EXP(-Configuracion!$B$4/Configuracion!$B$5*(1/AVERAGE(E90:E91)-1/(Configuracion!$B$3+273.15))))</x:f>
      </x:c>
      <x:c r="H91" s="44" t="str">
        <x:f>IF(D91="","",F91*G91)</x:f>
      </x:c>
      <x:c r="I91" s="44" t="str">
        <x:f>IF(D91="","",I90+H91)</x:f>
      </x:c>
      <x:c r="J91" s="46" t="str">
        <x:f>IF(D91="","",MIN(1,I91/Configuracion!$B$11))</x:f>
      </x:c>
      <x:c r="K91" s="48" t="str">
        <x:f>IF(D91="","",MAX(0,(Configuracion!$B$11-I91)/G91))</x:f>
      </x:c>
      <x:c r="L91" s="73" t="str">
        <x:f>IF(D91="","",C91+K91*60)</x:f>
      </x:c>
      <x:c r="M91" t="str">
        <x:f>IF(D91="","",IF(J91&gt;=Configuracion!$B$13,"DESLIZAR",IF(J91&gt;=Configuracion!$B$12,"PREPARARSE","NO DESLIZAR")))</x:f>
      </x:c>
      <x:c r="N91" s="41" t="str">
        <x:f>IF(D91="","",D91-$D$8)</x:f>
      </x:c>
      <x:c r="O91" s="46" t="str">
        <x:f>IF(D91="","",MAX(0,MIN(1,N91/Configuracion!$B$10)))</x:f>
      </x:c>
    </x:row>
    <x:row r="92">
      <x:c r="A92" s="34"/>
      <x:c r="B92" s="36"/>
      <x:c r="C92" s="72"/>
      <x:c r="D92" s="71"/>
      <x:c r="E92" s="41" t="str">
        <x:f>IF(D92="","",D92+273.15)</x:f>
      </x:c>
      <x:c r="F92" s="44" t="str">
        <x:f>IF(OR(C92="",D92="",C91=""),"",(C92-C91)/60)</x:f>
      </x:c>
      <x:c r="G92" s="44" t="str">
        <x:f>IF(D92="","",EXP(-Configuracion!$B$4/Configuracion!$B$5*(1/AVERAGE(E91:E92)-1/(Configuracion!$B$3+273.15))))</x:f>
      </x:c>
      <x:c r="H92" s="44" t="str">
        <x:f>IF(D92="","",F92*G92)</x:f>
      </x:c>
      <x:c r="I92" s="44" t="str">
        <x:f>IF(D92="","",I91+H92)</x:f>
      </x:c>
      <x:c r="J92" s="46" t="str">
        <x:f>IF(D92="","",MIN(1,I92/Configuracion!$B$11))</x:f>
      </x:c>
      <x:c r="K92" s="48" t="str">
        <x:f>IF(D92="","",MAX(0,(Configuracion!$B$11-I92)/G92))</x:f>
      </x:c>
      <x:c r="L92" s="73" t="str">
        <x:f>IF(D92="","",C92+K92*60)</x:f>
      </x:c>
      <x:c r="M92" t="str">
        <x:f>IF(D92="","",IF(J92&gt;=Configuracion!$B$13,"DESLIZAR",IF(J92&gt;=Configuracion!$B$12,"PREPARARSE","NO DESLIZAR")))</x:f>
      </x:c>
      <x:c r="N92" s="41" t="str">
        <x:f>IF(D92="","",D92-$D$8)</x:f>
      </x:c>
      <x:c r="O92" s="46" t="str">
        <x:f>IF(D92="","",MAX(0,MIN(1,N92/Configuracion!$B$10)))</x:f>
      </x:c>
    </x:row>
    <x:row r="93">
      <x:c r="A93" s="34"/>
      <x:c r="B93" s="36"/>
      <x:c r="C93" s="72"/>
      <x:c r="D93" s="71"/>
      <x:c r="E93" s="41" t="str">
        <x:f>IF(D93="","",D93+273.15)</x:f>
      </x:c>
      <x:c r="F93" s="44" t="str">
        <x:f>IF(OR(C93="",D93="",C92=""),"",(C93-C92)/60)</x:f>
      </x:c>
      <x:c r="G93" s="44" t="str">
        <x:f>IF(D93="","",EXP(-Configuracion!$B$4/Configuracion!$B$5*(1/AVERAGE(E92:E93)-1/(Configuracion!$B$3+273.15))))</x:f>
      </x:c>
      <x:c r="H93" s="44" t="str">
        <x:f>IF(D93="","",F93*G93)</x:f>
      </x:c>
      <x:c r="I93" s="44" t="str">
        <x:f>IF(D93="","",I92+H93)</x:f>
      </x:c>
      <x:c r="J93" s="46" t="str">
        <x:f>IF(D93="","",MIN(1,I93/Configuracion!$B$11))</x:f>
      </x:c>
      <x:c r="K93" s="48" t="str">
        <x:f>IF(D93="","",MAX(0,(Configuracion!$B$11-I93)/G93))</x:f>
      </x:c>
      <x:c r="L93" s="73" t="str">
        <x:f>IF(D93="","",C93+K93*60)</x:f>
      </x:c>
      <x:c r="M93" t="str">
        <x:f>IF(D93="","",IF(J93&gt;=Configuracion!$B$13,"DESLIZAR",IF(J93&gt;=Configuracion!$B$12,"PREPARARSE","NO DESLIZAR")))</x:f>
      </x:c>
      <x:c r="N93" s="41" t="str">
        <x:f>IF(D93="","",D93-$D$8)</x:f>
      </x:c>
      <x:c r="O93" s="46" t="str">
        <x:f>IF(D93="","",MAX(0,MIN(1,N93/Configuracion!$B$10)))</x:f>
      </x:c>
    </x:row>
    <x:row r="94">
      <x:c r="A94" s="34"/>
      <x:c r="B94" s="36"/>
      <x:c r="C94" s="72"/>
      <x:c r="D94" s="71"/>
      <x:c r="E94" s="41" t="str">
        <x:f>IF(D94="","",D94+273.15)</x:f>
      </x:c>
      <x:c r="F94" s="44" t="str">
        <x:f>IF(OR(C94="",D94="",C93=""),"",(C94-C93)/60)</x:f>
      </x:c>
      <x:c r="G94" s="44" t="str">
        <x:f>IF(D94="","",EXP(-Configuracion!$B$4/Configuracion!$B$5*(1/AVERAGE(E93:E94)-1/(Configuracion!$B$3+273.15))))</x:f>
      </x:c>
      <x:c r="H94" s="44" t="str">
        <x:f>IF(D94="","",F94*G94)</x:f>
      </x:c>
      <x:c r="I94" s="44" t="str">
        <x:f>IF(D94="","",I93+H94)</x:f>
      </x:c>
      <x:c r="J94" s="46" t="str">
        <x:f>IF(D94="","",MIN(1,I94/Configuracion!$B$11))</x:f>
      </x:c>
      <x:c r="K94" s="48" t="str">
        <x:f>IF(D94="","",MAX(0,(Configuracion!$B$11-I94)/G94))</x:f>
      </x:c>
      <x:c r="L94" s="73" t="str">
        <x:f>IF(D94="","",C94+K94*60)</x:f>
      </x:c>
      <x:c r="M94" t="str">
        <x:f>IF(D94="","",IF(J94&gt;=Configuracion!$B$13,"DESLIZAR",IF(J94&gt;=Configuracion!$B$12,"PREPARARSE","NO DESLIZAR")))</x:f>
      </x:c>
      <x:c r="N94" s="41" t="str">
        <x:f>IF(D94="","",D94-$D$8)</x:f>
      </x:c>
      <x:c r="O94" s="46" t="str">
        <x:f>IF(D94="","",MAX(0,MIN(1,N94/Configuracion!$B$10)))</x:f>
      </x:c>
    </x:row>
    <x:row r="95">
      <x:c r="A95" s="34"/>
      <x:c r="B95" s="36"/>
      <x:c r="C95" s="72"/>
      <x:c r="D95" s="71"/>
      <x:c r="E95" s="41" t="str">
        <x:f>IF(D95="","",D95+273.15)</x:f>
      </x:c>
      <x:c r="F95" s="44" t="str">
        <x:f>IF(OR(C95="",D95="",C94=""),"",(C95-C94)/60)</x:f>
      </x:c>
      <x:c r="G95" s="44" t="str">
        <x:f>IF(D95="","",EXP(-Configuracion!$B$4/Configuracion!$B$5*(1/AVERAGE(E94:E95)-1/(Configuracion!$B$3+273.15))))</x:f>
      </x:c>
      <x:c r="H95" s="44" t="str">
        <x:f>IF(D95="","",F95*G95)</x:f>
      </x:c>
      <x:c r="I95" s="44" t="str">
        <x:f>IF(D95="","",I94+H95)</x:f>
      </x:c>
      <x:c r="J95" s="46" t="str">
        <x:f>IF(D95="","",MIN(1,I95/Configuracion!$B$11))</x:f>
      </x:c>
      <x:c r="K95" s="48" t="str">
        <x:f>IF(D95="","",MAX(0,(Configuracion!$B$11-I95)/G95))</x:f>
      </x:c>
      <x:c r="L95" s="73" t="str">
        <x:f>IF(D95="","",C95+K95*60)</x:f>
      </x:c>
      <x:c r="M95" t="str">
        <x:f>IF(D95="","",IF(J95&gt;=Configuracion!$B$13,"DESLIZAR",IF(J95&gt;=Configuracion!$B$12,"PREPARARSE","NO DESLIZAR")))</x:f>
      </x:c>
      <x:c r="N95" s="41" t="str">
        <x:f>IF(D95="","",D95-$D$8)</x:f>
      </x:c>
      <x:c r="O95" s="46" t="str">
        <x:f>IF(D95="","",MAX(0,MIN(1,N95/Configuracion!$B$10)))</x:f>
      </x:c>
    </x:row>
    <x:row r="96">
      <x:c r="A96" s="34"/>
      <x:c r="B96" s="36"/>
      <x:c r="C96" s="72"/>
      <x:c r="D96" s="71"/>
      <x:c r="E96" s="41" t="str">
        <x:f>IF(D96="","",D96+273.15)</x:f>
      </x:c>
      <x:c r="F96" s="44" t="str">
        <x:f>IF(OR(C96="",D96="",C95=""),"",(C96-C95)/60)</x:f>
      </x:c>
      <x:c r="G96" s="44" t="str">
        <x:f>IF(D96="","",EXP(-Configuracion!$B$4/Configuracion!$B$5*(1/AVERAGE(E95:E96)-1/(Configuracion!$B$3+273.15))))</x:f>
      </x:c>
      <x:c r="H96" s="44" t="str">
        <x:f>IF(D96="","",F96*G96)</x:f>
      </x:c>
      <x:c r="I96" s="44" t="str">
        <x:f>IF(D96="","",I95+H96)</x:f>
      </x:c>
      <x:c r="J96" s="46" t="str">
        <x:f>IF(D96="","",MIN(1,I96/Configuracion!$B$11))</x:f>
      </x:c>
      <x:c r="K96" s="48" t="str">
        <x:f>IF(D96="","",MAX(0,(Configuracion!$B$11-I96)/G96))</x:f>
      </x:c>
      <x:c r="L96" s="73" t="str">
        <x:f>IF(D96="","",C96+K96*60)</x:f>
      </x:c>
      <x:c r="M96" t="str">
        <x:f>IF(D96="","",IF(J96&gt;=Configuracion!$B$13,"DESLIZAR",IF(J96&gt;=Configuracion!$B$12,"PREPARARSE","NO DESLIZAR")))</x:f>
      </x:c>
      <x:c r="N96" s="41" t="str">
        <x:f>IF(D96="","",D96-$D$8)</x:f>
      </x:c>
      <x:c r="O96" s="46" t="str">
        <x:f>IF(D96="","",MAX(0,MIN(1,N96/Configuracion!$B$10)))</x:f>
      </x:c>
    </x:row>
    <x:row r="97">
      <x:c r="A97" s="34"/>
      <x:c r="B97" s="36"/>
      <x:c r="C97" s="72"/>
      <x:c r="D97" s="71"/>
      <x:c r="E97" s="41" t="str">
        <x:f>IF(D97="","",D97+273.15)</x:f>
      </x:c>
      <x:c r="F97" s="44" t="str">
        <x:f>IF(OR(C97="",D97="",C96=""),"",(C97-C96)/60)</x:f>
      </x:c>
      <x:c r="G97" s="44" t="str">
        <x:f>IF(D97="","",EXP(-Configuracion!$B$4/Configuracion!$B$5*(1/AVERAGE(E96:E97)-1/(Configuracion!$B$3+273.15))))</x:f>
      </x:c>
      <x:c r="H97" s="44" t="str">
        <x:f>IF(D97="","",F97*G97)</x:f>
      </x:c>
      <x:c r="I97" s="44" t="str">
        <x:f>IF(D97="","",I96+H97)</x:f>
      </x:c>
      <x:c r="J97" s="46" t="str">
        <x:f>IF(D97="","",MIN(1,I97/Configuracion!$B$11))</x:f>
      </x:c>
      <x:c r="K97" s="48" t="str">
        <x:f>IF(D97="","",MAX(0,(Configuracion!$B$11-I97)/G97))</x:f>
      </x:c>
      <x:c r="L97" s="73" t="str">
        <x:f>IF(D97="","",C97+K97*60)</x:f>
      </x:c>
      <x:c r="M97" t="str">
        <x:f>IF(D97="","",IF(J97&gt;=Configuracion!$B$13,"DESLIZAR",IF(J97&gt;=Configuracion!$B$12,"PREPARARSE","NO DESLIZAR")))</x:f>
      </x:c>
      <x:c r="N97" s="41" t="str">
        <x:f>IF(D97="","",D97-$D$8)</x:f>
      </x:c>
      <x:c r="O97" s="46" t="str">
        <x:f>IF(D97="","",MAX(0,MIN(1,N97/Configuracion!$B$10)))</x:f>
      </x:c>
    </x:row>
    <x:row r="98">
      <x:c r="A98" s="34"/>
      <x:c r="B98" s="36"/>
      <x:c r="C98" s="72"/>
      <x:c r="D98" s="71"/>
      <x:c r="E98" s="41" t="str">
        <x:f>IF(D98="","",D98+273.15)</x:f>
      </x:c>
      <x:c r="F98" s="44" t="str">
        <x:f>IF(OR(C98="",D98="",C97=""),"",(C98-C97)/60)</x:f>
      </x:c>
      <x:c r="G98" s="44" t="str">
        <x:f>IF(D98="","",EXP(-Configuracion!$B$4/Configuracion!$B$5*(1/AVERAGE(E97:E98)-1/(Configuracion!$B$3+273.15))))</x:f>
      </x:c>
      <x:c r="H98" s="44" t="str">
        <x:f>IF(D98="","",F98*G98)</x:f>
      </x:c>
      <x:c r="I98" s="44" t="str">
        <x:f>IF(D98="","",I97+H98)</x:f>
      </x:c>
      <x:c r="J98" s="46" t="str">
        <x:f>IF(D98="","",MIN(1,I98/Configuracion!$B$11))</x:f>
      </x:c>
      <x:c r="K98" s="48" t="str">
        <x:f>IF(D98="","",MAX(0,(Configuracion!$B$11-I98)/G98))</x:f>
      </x:c>
      <x:c r="L98" s="73" t="str">
        <x:f>IF(D98="","",C98+K98*60)</x:f>
      </x:c>
      <x:c r="M98" t="str">
        <x:f>IF(D98="","",IF(J98&gt;=Configuracion!$B$13,"DESLIZAR",IF(J98&gt;=Configuracion!$B$12,"PREPARARSE","NO DESLIZAR")))</x:f>
      </x:c>
      <x:c r="N98" s="41" t="str">
        <x:f>IF(D98="","",D98-$D$8)</x:f>
      </x:c>
      <x:c r="O98" s="46" t="str">
        <x:f>IF(D98="","",MAX(0,MIN(1,N98/Configuracion!$B$10)))</x:f>
      </x:c>
    </x:row>
    <x:row r="99">
      <x:c r="A99" s="34"/>
      <x:c r="B99" s="36"/>
      <x:c r="C99" s="72"/>
      <x:c r="D99" s="71"/>
      <x:c r="E99" s="41" t="str">
        <x:f>IF(D99="","",D99+273.15)</x:f>
      </x:c>
      <x:c r="F99" s="44" t="str">
        <x:f>IF(OR(C99="",D99="",C98=""),"",(C99-C98)/60)</x:f>
      </x:c>
      <x:c r="G99" s="44" t="str">
        <x:f>IF(D99="","",EXP(-Configuracion!$B$4/Configuracion!$B$5*(1/AVERAGE(E98:E99)-1/(Configuracion!$B$3+273.15))))</x:f>
      </x:c>
      <x:c r="H99" s="44" t="str">
        <x:f>IF(D99="","",F99*G99)</x:f>
      </x:c>
      <x:c r="I99" s="44" t="str">
        <x:f>IF(D99="","",I98+H99)</x:f>
      </x:c>
      <x:c r="J99" s="46" t="str">
        <x:f>IF(D99="","",MIN(1,I99/Configuracion!$B$11))</x:f>
      </x:c>
      <x:c r="K99" s="48" t="str">
        <x:f>IF(D99="","",MAX(0,(Configuracion!$B$11-I99)/G99))</x:f>
      </x:c>
      <x:c r="L99" s="73" t="str">
        <x:f>IF(D99="","",C99+K99*60)</x:f>
      </x:c>
      <x:c r="M99" t="str">
        <x:f>IF(D99="","",IF(J99&gt;=Configuracion!$B$13,"DESLIZAR",IF(J99&gt;=Configuracion!$B$12,"PREPARARSE","NO DESLIZAR")))</x:f>
      </x:c>
      <x:c r="N99" s="41" t="str">
        <x:f>IF(D99="","",D99-$D$8)</x:f>
      </x:c>
      <x:c r="O99" s="46" t="str">
        <x:f>IF(D99="","",MAX(0,MIN(1,N99/Configuracion!$B$10)))</x:f>
      </x:c>
    </x:row>
    <x:row r="100">
      <x:c r="A100" s="34"/>
      <x:c r="B100" s="36"/>
      <x:c r="C100" s="72"/>
      <x:c r="D100" s="71"/>
      <x:c r="E100" s="41" t="str">
        <x:f>IF(D100="","",D100+273.15)</x:f>
      </x:c>
      <x:c r="F100" s="44" t="str">
        <x:f>IF(OR(C100="",D100="",C99=""),"",(C100-C99)/60)</x:f>
      </x:c>
      <x:c r="G100" s="44" t="str">
        <x:f>IF(D100="","",EXP(-Configuracion!$B$4/Configuracion!$B$5*(1/AVERAGE(E99:E100)-1/(Configuracion!$B$3+273.15))))</x:f>
      </x:c>
      <x:c r="H100" s="44" t="str">
        <x:f>IF(D100="","",F100*G100)</x:f>
      </x:c>
      <x:c r="I100" s="44" t="str">
        <x:f>IF(D100="","",I99+H100)</x:f>
      </x:c>
      <x:c r="J100" s="46" t="str">
        <x:f>IF(D100="","",MIN(1,I100/Configuracion!$B$11))</x:f>
      </x:c>
      <x:c r="K100" s="48" t="str">
        <x:f>IF(D100="","",MAX(0,(Configuracion!$B$11-I100)/G100))</x:f>
      </x:c>
      <x:c r="L100" s="73" t="str">
        <x:f>IF(D100="","",C100+K100*60)</x:f>
      </x:c>
      <x:c r="M100" t="str">
        <x:f>IF(D100="","",IF(J100&gt;=Configuracion!$B$13,"DESLIZAR",IF(J100&gt;=Configuracion!$B$12,"PREPARARSE","NO DESLIZAR")))</x:f>
      </x:c>
      <x:c r="N100" s="41" t="str">
        <x:f>IF(D100="","",D100-$D$8)</x:f>
      </x:c>
      <x:c r="O100" s="46" t="str">
        <x:f>IF(D100="","",MAX(0,MIN(1,N100/Configuracion!$B$10)))</x:f>
      </x:c>
    </x:row>
    <x:row r="101">
      <x:c r="A101" s="34"/>
      <x:c r="B101" s="36"/>
      <x:c r="C101" s="72"/>
      <x:c r="D101" s="71"/>
      <x:c r="E101" s="41" t="str">
        <x:f>IF(D101="","",D101+273.15)</x:f>
      </x:c>
      <x:c r="F101" s="44" t="str">
        <x:f>IF(OR(C101="",D101="",C100=""),"",(C101-C100)/60)</x:f>
      </x:c>
      <x:c r="G101" s="44" t="str">
        <x:f>IF(D101="","",EXP(-Configuracion!$B$4/Configuracion!$B$5*(1/AVERAGE(E100:E101)-1/(Configuracion!$B$3+273.15))))</x:f>
      </x:c>
      <x:c r="H101" s="44" t="str">
        <x:f>IF(D101="","",F101*G101)</x:f>
      </x:c>
      <x:c r="I101" s="44" t="str">
        <x:f>IF(D101="","",I100+H101)</x:f>
      </x:c>
      <x:c r="J101" s="46" t="str">
        <x:f>IF(D101="","",MIN(1,I101/Configuracion!$B$11))</x:f>
      </x:c>
      <x:c r="K101" s="48" t="str">
        <x:f>IF(D101="","",MAX(0,(Configuracion!$B$11-I101)/G101))</x:f>
      </x:c>
      <x:c r="L101" s="73" t="str">
        <x:f>IF(D101="","",C101+K101*60)</x:f>
      </x:c>
      <x:c r="M101" t="str">
        <x:f>IF(D101="","",IF(J101&gt;=Configuracion!$B$13,"DESLIZAR",IF(J101&gt;=Configuracion!$B$12,"PREPARARSE","NO DESLIZAR")))</x:f>
      </x:c>
      <x:c r="N101" s="41" t="str">
        <x:f>IF(D101="","",D101-$D$8)</x:f>
      </x:c>
      <x:c r="O101" s="46" t="str">
        <x:f>IF(D101="","",MAX(0,MIN(1,N101/Configuracion!$B$10)))</x:f>
      </x:c>
    </x:row>
    <x:row r="102">
      <x:c r="A102" s="34"/>
      <x:c r="B102" s="36"/>
      <x:c r="C102" s="72"/>
      <x:c r="D102" s="71"/>
      <x:c r="E102" s="41" t="str">
        <x:f>IF(D102="","",D102+273.15)</x:f>
      </x:c>
      <x:c r="F102" s="44" t="str">
        <x:f>IF(OR(C102="",D102="",C101=""),"",(C102-C101)/60)</x:f>
      </x:c>
      <x:c r="G102" s="44" t="str">
        <x:f>IF(D102="","",EXP(-Configuracion!$B$4/Configuracion!$B$5*(1/AVERAGE(E101:E102)-1/(Configuracion!$B$3+273.15))))</x:f>
      </x:c>
      <x:c r="H102" s="44" t="str">
        <x:f>IF(D102="","",F102*G102)</x:f>
      </x:c>
      <x:c r="I102" s="44" t="str">
        <x:f>IF(D102="","",I101+H102)</x:f>
      </x:c>
      <x:c r="J102" s="46" t="str">
        <x:f>IF(D102="","",MIN(1,I102/Configuracion!$B$11))</x:f>
      </x:c>
      <x:c r="K102" s="48" t="str">
        <x:f>IF(D102="","",MAX(0,(Configuracion!$B$11-I102)/G102))</x:f>
      </x:c>
      <x:c r="L102" s="73" t="str">
        <x:f>IF(D102="","",C102+K102*60)</x:f>
      </x:c>
      <x:c r="M102" t="str">
        <x:f>IF(D102="","",IF(J102&gt;=Configuracion!$B$13,"DESLIZAR",IF(J102&gt;=Configuracion!$B$12,"PREPARARSE","NO DESLIZAR")))</x:f>
      </x:c>
      <x:c r="N102" s="41" t="str">
        <x:f>IF(D102="","",D102-$D$8)</x:f>
      </x:c>
      <x:c r="O102" s="46" t="str">
        <x:f>IF(D102="","",MAX(0,MIN(1,N102/Configuracion!$B$10)))</x:f>
      </x:c>
    </x:row>
    <x:row r="103">
      <x:c r="A103" s="34"/>
      <x:c r="B103" s="36"/>
      <x:c r="C103" s="72"/>
      <x:c r="D103" s="71"/>
      <x:c r="E103" s="41" t="str">
        <x:f>IF(D103="","",D103+273.15)</x:f>
      </x:c>
      <x:c r="F103" s="44" t="str">
        <x:f>IF(OR(C103="",D103="",C102=""),"",(C103-C102)/60)</x:f>
      </x:c>
      <x:c r="G103" s="44" t="str">
        <x:f>IF(D103="","",EXP(-Configuracion!$B$4/Configuracion!$B$5*(1/AVERAGE(E102:E103)-1/(Configuracion!$B$3+273.15))))</x:f>
      </x:c>
      <x:c r="H103" s="44" t="str">
        <x:f>IF(D103="","",F103*G103)</x:f>
      </x:c>
      <x:c r="I103" s="44" t="str">
        <x:f>IF(D103="","",I102+H103)</x:f>
      </x:c>
      <x:c r="J103" s="46" t="str">
        <x:f>IF(D103="","",MIN(1,I103/Configuracion!$B$11))</x:f>
      </x:c>
      <x:c r="K103" s="48" t="str">
        <x:f>IF(D103="","",MAX(0,(Configuracion!$B$11-I103)/G103))</x:f>
      </x:c>
      <x:c r="L103" s="73" t="str">
        <x:f>IF(D103="","",C103+K103*60)</x:f>
      </x:c>
      <x:c r="M103" t="str">
        <x:f>IF(D103="","",IF(J103&gt;=Configuracion!$B$13,"DESLIZAR",IF(J103&gt;=Configuracion!$B$12,"PREPARARSE","NO DESLIZAR")))</x:f>
      </x:c>
      <x:c r="N103" s="41" t="str">
        <x:f>IF(D103="","",D103-$D$8)</x:f>
      </x:c>
      <x:c r="O103" s="46" t="str">
        <x:f>IF(D103="","",MAX(0,MIN(1,N103/Configuracion!$B$10)))</x:f>
      </x:c>
    </x:row>
    <x:row r="104">
      <x:c r="A104" s="34"/>
      <x:c r="B104" s="36"/>
      <x:c r="C104" s="72"/>
      <x:c r="D104" s="71"/>
      <x:c r="E104" s="41" t="str">
        <x:f>IF(D104="","",D104+273.15)</x:f>
      </x:c>
      <x:c r="F104" s="44" t="str">
        <x:f>IF(OR(C104="",D104="",C103=""),"",(C104-C103)/60)</x:f>
      </x:c>
      <x:c r="G104" s="44" t="str">
        <x:f>IF(D104="","",EXP(-Configuracion!$B$4/Configuracion!$B$5*(1/AVERAGE(E103:E104)-1/(Configuracion!$B$3+273.15))))</x:f>
      </x:c>
      <x:c r="H104" s="44" t="str">
        <x:f>IF(D104="","",F104*G104)</x:f>
      </x:c>
      <x:c r="I104" s="44" t="str">
        <x:f>IF(D104="","",I103+H104)</x:f>
      </x:c>
      <x:c r="J104" s="46" t="str">
        <x:f>IF(D104="","",MIN(1,I104/Configuracion!$B$11))</x:f>
      </x:c>
      <x:c r="K104" s="48" t="str">
        <x:f>IF(D104="","",MAX(0,(Configuracion!$B$11-I104)/G104))</x:f>
      </x:c>
      <x:c r="L104" s="73" t="str">
        <x:f>IF(D104="","",C104+K104*60)</x:f>
      </x:c>
      <x:c r="M104" t="str">
        <x:f>IF(D104="","",IF(J104&gt;=Configuracion!$B$13,"DESLIZAR",IF(J104&gt;=Configuracion!$B$12,"PREPARARSE","NO DESLIZAR")))</x:f>
      </x:c>
      <x:c r="N104" s="41" t="str">
        <x:f>IF(D104="","",D104-$D$8)</x:f>
      </x:c>
      <x:c r="O104" s="46" t="str">
        <x:f>IF(D104="","",MAX(0,MIN(1,N104/Configuracion!$B$10)))</x:f>
      </x:c>
    </x:row>
    <x:row r="105">
      <x:c r="A105" s="34"/>
      <x:c r="B105" s="36"/>
      <x:c r="C105" s="72"/>
      <x:c r="D105" s="71"/>
      <x:c r="E105" s="41" t="str">
        <x:f>IF(D105="","",D105+273.15)</x:f>
      </x:c>
      <x:c r="F105" s="44" t="str">
        <x:f>IF(OR(C105="",D105="",C104=""),"",(C105-C104)/60)</x:f>
      </x:c>
      <x:c r="G105" s="44" t="str">
        <x:f>IF(D105="","",EXP(-Configuracion!$B$4/Configuracion!$B$5*(1/AVERAGE(E104:E105)-1/(Configuracion!$B$3+273.15))))</x:f>
      </x:c>
      <x:c r="H105" s="44" t="str">
        <x:f>IF(D105="","",F105*G105)</x:f>
      </x:c>
      <x:c r="I105" s="44" t="str">
        <x:f>IF(D105="","",I104+H105)</x:f>
      </x:c>
      <x:c r="J105" s="46" t="str">
        <x:f>IF(D105="","",MIN(1,I105/Configuracion!$B$11))</x:f>
      </x:c>
      <x:c r="K105" s="48" t="str">
        <x:f>IF(D105="","",MAX(0,(Configuracion!$B$11-I105)/G105))</x:f>
      </x:c>
      <x:c r="L105" s="73" t="str">
        <x:f>IF(D105="","",C105+K105*60)</x:f>
      </x:c>
      <x:c r="M105" t="str">
        <x:f>IF(D105="","",IF(J105&gt;=Configuracion!$B$13,"DESLIZAR",IF(J105&gt;=Configuracion!$B$12,"PREPARARSE","NO DESLIZAR")))</x:f>
      </x:c>
      <x:c r="N105" s="41" t="str">
        <x:f>IF(D105="","",D105-$D$8)</x:f>
      </x:c>
      <x:c r="O105" s="46" t="str">
        <x:f>IF(D105="","",MAX(0,MIN(1,N105/Configuracion!$B$10)))</x:f>
      </x:c>
    </x:row>
    <x:row r="106">
      <x:c r="A106" s="34"/>
      <x:c r="B106" s="36"/>
      <x:c r="C106" s="72"/>
      <x:c r="D106" s="71"/>
      <x:c r="E106" s="41" t="str">
        <x:f>IF(D106="","",D106+273.15)</x:f>
      </x:c>
      <x:c r="F106" s="44" t="str">
        <x:f>IF(OR(C106="",D106="",C105=""),"",(C106-C105)/60)</x:f>
      </x:c>
      <x:c r="G106" s="44" t="str">
        <x:f>IF(D106="","",EXP(-Configuracion!$B$4/Configuracion!$B$5*(1/AVERAGE(E105:E106)-1/(Configuracion!$B$3+273.15))))</x:f>
      </x:c>
      <x:c r="H106" s="44" t="str">
        <x:f>IF(D106="","",F106*G106)</x:f>
      </x:c>
      <x:c r="I106" s="44" t="str">
        <x:f>IF(D106="","",I105+H106)</x:f>
      </x:c>
      <x:c r="J106" s="46" t="str">
        <x:f>IF(D106="","",MIN(1,I106/Configuracion!$B$11))</x:f>
      </x:c>
      <x:c r="K106" s="48" t="str">
        <x:f>IF(D106="","",MAX(0,(Configuracion!$B$11-I106)/G106))</x:f>
      </x:c>
      <x:c r="L106" s="73" t="str">
        <x:f>IF(D106="","",C106+K106*60)</x:f>
      </x:c>
      <x:c r="M106" t="str">
        <x:f>IF(D106="","",IF(J106&gt;=Configuracion!$B$13,"DESLIZAR",IF(J106&gt;=Configuracion!$B$12,"PREPARARSE","NO DESLIZAR")))</x:f>
      </x:c>
      <x:c r="N106" s="41" t="str">
        <x:f>IF(D106="","",D106-$D$8)</x:f>
      </x:c>
      <x:c r="O106" s="46" t="str">
        <x:f>IF(D106="","",MAX(0,MIN(1,N106/Configuracion!$B$10)))</x:f>
      </x:c>
    </x:row>
    <x:row r="107">
      <x:c r="A107" s="34"/>
      <x:c r="B107" s="36"/>
      <x:c r="C107" s="72"/>
      <x:c r="D107" s="71"/>
      <x:c r="E107" s="41" t="str">
        <x:f>IF(D107="","",D107+273.15)</x:f>
      </x:c>
      <x:c r="F107" s="44" t="str">
        <x:f>IF(OR(C107="",D107="",C106=""),"",(C107-C106)/60)</x:f>
      </x:c>
      <x:c r="G107" s="44" t="str">
        <x:f>IF(D107="","",EXP(-Configuracion!$B$4/Configuracion!$B$5*(1/AVERAGE(E106:E107)-1/(Configuracion!$B$3+273.15))))</x:f>
      </x:c>
      <x:c r="H107" s="44" t="str">
        <x:f>IF(D107="","",F107*G107)</x:f>
      </x:c>
      <x:c r="I107" s="44" t="str">
        <x:f>IF(D107="","",I106+H107)</x:f>
      </x:c>
      <x:c r="J107" s="46" t="str">
        <x:f>IF(D107="","",MIN(1,I107/Configuracion!$B$11))</x:f>
      </x:c>
      <x:c r="K107" s="48" t="str">
        <x:f>IF(D107="","",MAX(0,(Configuracion!$B$11-I107)/G107))</x:f>
      </x:c>
      <x:c r="L107" s="73" t="str">
        <x:f>IF(D107="","",C107+K107*60)</x:f>
      </x:c>
      <x:c r="M107" t="str">
        <x:f>IF(D107="","",IF(J107&gt;=Configuracion!$B$13,"DESLIZAR",IF(J107&gt;=Configuracion!$B$12,"PREPARARSE","NO DESLIZAR")))</x:f>
      </x:c>
      <x:c r="N107" s="41" t="str">
        <x:f>IF(D107="","",D107-$D$8)</x:f>
      </x:c>
      <x:c r="O107" s="46" t="str">
        <x:f>IF(D107="","",MAX(0,MIN(1,N107/Configuracion!$B$10)))</x:f>
      </x:c>
    </x:row>
    <x:row r="108">
      <x:c r="A108" s="34"/>
      <x:c r="B108" s="36"/>
      <x:c r="C108" s="72"/>
      <x:c r="D108" s="71"/>
      <x:c r="E108" s="41" t="str">
        <x:f>IF(D108="","",D108+273.15)</x:f>
      </x:c>
      <x:c r="F108" s="44" t="str">
        <x:f>IF(OR(C108="",D108="",C107=""),"",(C108-C107)/60)</x:f>
      </x:c>
      <x:c r="G108" s="44" t="str">
        <x:f>IF(D108="","",EXP(-Configuracion!$B$4/Configuracion!$B$5*(1/AVERAGE(E107:E108)-1/(Configuracion!$B$3+273.15))))</x:f>
      </x:c>
      <x:c r="H108" s="44" t="str">
        <x:f>IF(D108="","",F108*G108)</x:f>
      </x:c>
      <x:c r="I108" s="44" t="str">
        <x:f>IF(D108="","",I107+H108)</x:f>
      </x:c>
      <x:c r="J108" s="46" t="str">
        <x:f>IF(D108="","",MIN(1,I108/Configuracion!$B$11))</x:f>
      </x:c>
      <x:c r="K108" s="48" t="str">
        <x:f>IF(D108="","",MAX(0,(Configuracion!$B$11-I108)/G108))</x:f>
      </x:c>
      <x:c r="L108" s="73" t="str">
        <x:f>IF(D108="","",C108+K108*60)</x:f>
      </x:c>
      <x:c r="M108" t="str">
        <x:f>IF(D108="","",IF(J108&gt;=Configuracion!$B$13,"DESLIZAR",IF(J108&gt;=Configuracion!$B$12,"PREPARARSE","NO DESLIZAR")))</x:f>
      </x:c>
      <x:c r="N108" s="41" t="str">
        <x:f>IF(D108="","",D108-$D$8)</x:f>
      </x:c>
      <x:c r="O108" s="46" t="str">
        <x:f>IF(D108="","",MAX(0,MIN(1,N108/Configuracion!$B$10)))</x:f>
      </x:c>
    </x:row>
    <x:row r="109">
      <x:c r="A109" s="34"/>
      <x:c r="B109" s="36"/>
      <x:c r="C109" s="72"/>
      <x:c r="D109" s="71"/>
      <x:c r="E109" s="41" t="str">
        <x:f>IF(D109="","",D109+273.15)</x:f>
      </x:c>
      <x:c r="F109" s="44" t="str">
        <x:f>IF(OR(C109="",D109="",C108=""),"",(C109-C108)/60)</x:f>
      </x:c>
      <x:c r="G109" s="44" t="str">
        <x:f>IF(D109="","",EXP(-Configuracion!$B$4/Configuracion!$B$5*(1/AVERAGE(E108:E109)-1/(Configuracion!$B$3+273.15))))</x:f>
      </x:c>
      <x:c r="H109" s="44" t="str">
        <x:f>IF(D109="","",F109*G109)</x:f>
      </x:c>
      <x:c r="I109" s="44" t="str">
        <x:f>IF(D109="","",I108+H109)</x:f>
      </x:c>
      <x:c r="J109" s="46" t="str">
        <x:f>IF(D109="","",MIN(1,I109/Configuracion!$B$11))</x:f>
      </x:c>
      <x:c r="K109" s="48" t="str">
        <x:f>IF(D109="","",MAX(0,(Configuracion!$B$11-I109)/G109))</x:f>
      </x:c>
      <x:c r="L109" s="73" t="str">
        <x:f>IF(D109="","",C109+K109*60)</x:f>
      </x:c>
      <x:c r="M109" t="str">
        <x:f>IF(D109="","",IF(J109&gt;=Configuracion!$B$13,"DESLIZAR",IF(J109&gt;=Configuracion!$B$12,"PREPARARSE","NO DESLIZAR")))</x:f>
      </x:c>
      <x:c r="N109" s="41" t="str">
        <x:f>IF(D109="","",D109-$D$8)</x:f>
      </x:c>
      <x:c r="O109" s="46" t="str">
        <x:f>IF(D109="","",MAX(0,MIN(1,N109/Configuracion!$B$10)))</x:f>
      </x:c>
    </x:row>
    <x:row r="110">
      <x:c r="A110" s="34"/>
      <x:c r="B110" s="36"/>
      <x:c r="C110" s="72"/>
      <x:c r="D110" s="71"/>
      <x:c r="E110" s="41" t="str">
        <x:f>IF(D110="","",D110+273.15)</x:f>
      </x:c>
      <x:c r="F110" s="44" t="str">
        <x:f>IF(OR(C110="",D110="",C109=""),"",(C110-C109)/60)</x:f>
      </x:c>
      <x:c r="G110" s="44" t="str">
        <x:f>IF(D110="","",EXP(-Configuracion!$B$4/Configuracion!$B$5*(1/AVERAGE(E109:E110)-1/(Configuracion!$B$3+273.15))))</x:f>
      </x:c>
      <x:c r="H110" s="44" t="str">
        <x:f>IF(D110="","",F110*G110)</x:f>
      </x:c>
      <x:c r="I110" s="44" t="str">
        <x:f>IF(D110="","",I109+H110)</x:f>
      </x:c>
      <x:c r="J110" s="46" t="str">
        <x:f>IF(D110="","",MIN(1,I110/Configuracion!$B$11))</x:f>
      </x:c>
      <x:c r="K110" s="48" t="str">
        <x:f>IF(D110="","",MAX(0,(Configuracion!$B$11-I110)/G110))</x:f>
      </x:c>
      <x:c r="L110" s="73" t="str">
        <x:f>IF(D110="","",C110+K110*60)</x:f>
      </x:c>
      <x:c r="M110" t="str">
        <x:f>IF(D110="","",IF(J110&gt;=Configuracion!$B$13,"DESLIZAR",IF(J110&gt;=Configuracion!$B$12,"PREPARARSE","NO DESLIZAR")))</x:f>
      </x:c>
      <x:c r="N110" s="41" t="str">
        <x:f>IF(D110="","",D110-$D$8)</x:f>
      </x:c>
      <x:c r="O110" s="46" t="str">
        <x:f>IF(D110="","",MAX(0,MIN(1,N110/Configuracion!$B$10)))</x:f>
      </x:c>
    </x:row>
    <x:row r="111">
      <x:c r="A111" s="34"/>
      <x:c r="B111" s="36"/>
      <x:c r="C111" s="72"/>
      <x:c r="D111" s="71"/>
      <x:c r="E111" s="41" t="str">
        <x:f>IF(D111="","",D111+273.15)</x:f>
      </x:c>
      <x:c r="F111" s="44" t="str">
        <x:f>IF(OR(C111="",D111="",C110=""),"",(C111-C110)/60)</x:f>
      </x:c>
      <x:c r="G111" s="44" t="str">
        <x:f>IF(D111="","",EXP(-Configuracion!$B$4/Configuracion!$B$5*(1/AVERAGE(E110:E111)-1/(Configuracion!$B$3+273.15))))</x:f>
      </x:c>
      <x:c r="H111" s="44" t="str">
        <x:f>IF(D111="","",F111*G111)</x:f>
      </x:c>
      <x:c r="I111" s="44" t="str">
        <x:f>IF(D111="","",I110+H111)</x:f>
      </x:c>
      <x:c r="J111" s="46" t="str">
        <x:f>IF(D111="","",MIN(1,I111/Configuracion!$B$11))</x:f>
      </x:c>
      <x:c r="K111" s="48" t="str">
        <x:f>IF(D111="","",MAX(0,(Configuracion!$B$11-I111)/G111))</x:f>
      </x:c>
      <x:c r="L111" s="73" t="str">
        <x:f>IF(D111="","",C111+K111*60)</x:f>
      </x:c>
      <x:c r="M111" t="str">
        <x:f>IF(D111="","",IF(J111&gt;=Configuracion!$B$13,"DESLIZAR",IF(J111&gt;=Configuracion!$B$12,"PREPARARSE","NO DESLIZAR")))</x:f>
      </x:c>
      <x:c r="N111" s="41" t="str">
        <x:f>IF(D111="","",D111-$D$8)</x:f>
      </x:c>
      <x:c r="O111" s="46" t="str">
        <x:f>IF(D111="","",MAX(0,MIN(1,N111/Configuracion!$B$10)))</x:f>
      </x:c>
    </x:row>
    <x:row r="112">
      <x:c r="A112" s="34"/>
      <x:c r="B112" s="36"/>
      <x:c r="C112" s="72"/>
      <x:c r="D112" s="71"/>
      <x:c r="E112" s="41" t="str">
        <x:f>IF(D112="","",D112+273.15)</x:f>
      </x:c>
      <x:c r="F112" s="44" t="str">
        <x:f>IF(OR(C112="",D112="",C111=""),"",(C112-C111)/60)</x:f>
      </x:c>
      <x:c r="G112" s="44" t="str">
        <x:f>IF(D112="","",EXP(-Configuracion!$B$4/Configuracion!$B$5*(1/AVERAGE(E111:E112)-1/(Configuracion!$B$3+273.15))))</x:f>
      </x:c>
      <x:c r="H112" s="44" t="str">
        <x:f>IF(D112="","",F112*G112)</x:f>
      </x:c>
      <x:c r="I112" s="44" t="str">
        <x:f>IF(D112="","",I111+H112)</x:f>
      </x:c>
      <x:c r="J112" s="46" t="str">
        <x:f>IF(D112="","",MIN(1,I112/Configuracion!$B$11))</x:f>
      </x:c>
      <x:c r="K112" s="48" t="str">
        <x:f>IF(D112="","",MAX(0,(Configuracion!$B$11-I112)/G112))</x:f>
      </x:c>
      <x:c r="L112" s="73" t="str">
        <x:f>IF(D112="","",C112+K112*60)</x:f>
      </x:c>
      <x:c r="M112" t="str">
        <x:f>IF(D112="","",IF(J112&gt;=Configuracion!$B$13,"DESLIZAR",IF(J112&gt;=Configuracion!$B$12,"PREPARARSE","NO DESLIZAR")))</x:f>
      </x:c>
      <x:c r="N112" s="41" t="str">
        <x:f>IF(D112="","",D112-$D$8)</x:f>
      </x:c>
      <x:c r="O112" s="46" t="str">
        <x:f>IF(D112="","",MAX(0,MIN(1,N112/Configuracion!$B$10)))</x:f>
      </x:c>
    </x:row>
    <x:row r="113">
      <x:c r="A113" s="34"/>
      <x:c r="B113" s="36"/>
      <x:c r="C113" s="72"/>
      <x:c r="D113" s="71"/>
      <x:c r="E113" s="41" t="str">
        <x:f>IF(D113="","",D113+273.15)</x:f>
      </x:c>
      <x:c r="F113" s="44" t="str">
        <x:f>IF(OR(C113="",D113="",C112=""),"",(C113-C112)/60)</x:f>
      </x:c>
      <x:c r="G113" s="44" t="str">
        <x:f>IF(D113="","",EXP(-Configuracion!$B$4/Configuracion!$B$5*(1/AVERAGE(E112:E113)-1/(Configuracion!$B$3+273.15))))</x:f>
      </x:c>
      <x:c r="H113" s="44" t="str">
        <x:f>IF(D113="","",F113*G113)</x:f>
      </x:c>
      <x:c r="I113" s="44" t="str">
        <x:f>IF(D113="","",I112+H113)</x:f>
      </x:c>
      <x:c r="J113" s="46" t="str">
        <x:f>IF(D113="","",MIN(1,I113/Configuracion!$B$11))</x:f>
      </x:c>
      <x:c r="K113" s="48" t="str">
        <x:f>IF(D113="","",MAX(0,(Configuracion!$B$11-I113)/G113))</x:f>
      </x:c>
      <x:c r="L113" s="73" t="str">
        <x:f>IF(D113="","",C113+K113*60)</x:f>
      </x:c>
      <x:c r="M113" t="str">
        <x:f>IF(D113="","",IF(J113&gt;=Configuracion!$B$13,"DESLIZAR",IF(J113&gt;=Configuracion!$B$12,"PREPARARSE","NO DESLIZAR")))</x:f>
      </x:c>
      <x:c r="N113" s="41" t="str">
        <x:f>IF(D113="","",D113-$D$8)</x:f>
      </x:c>
      <x:c r="O113" s="46" t="str">
        <x:f>IF(D113="","",MAX(0,MIN(1,N113/Configuracion!$B$10)))</x:f>
      </x:c>
    </x:row>
    <x:row r="114">
      <x:c r="A114" s="34"/>
      <x:c r="B114" s="36"/>
      <x:c r="C114" s="72"/>
      <x:c r="D114" s="71"/>
      <x:c r="E114" s="41" t="str">
        <x:f>IF(D114="","",D114+273.15)</x:f>
      </x:c>
      <x:c r="F114" s="44" t="str">
        <x:f>IF(OR(C114="",D114="",C113=""),"",(C114-C113)/60)</x:f>
      </x:c>
      <x:c r="G114" s="44" t="str">
        <x:f>IF(D114="","",EXP(-Configuracion!$B$4/Configuracion!$B$5*(1/AVERAGE(E113:E114)-1/(Configuracion!$B$3+273.15))))</x:f>
      </x:c>
      <x:c r="H114" s="44" t="str">
        <x:f>IF(D114="","",F114*G114)</x:f>
      </x:c>
      <x:c r="I114" s="44" t="str">
        <x:f>IF(D114="","",I113+H114)</x:f>
      </x:c>
      <x:c r="J114" s="46" t="str">
        <x:f>IF(D114="","",MIN(1,I114/Configuracion!$B$11))</x:f>
      </x:c>
      <x:c r="K114" s="48" t="str">
        <x:f>IF(D114="","",MAX(0,(Configuracion!$B$11-I114)/G114))</x:f>
      </x:c>
      <x:c r="L114" s="73" t="str">
        <x:f>IF(D114="","",C114+K114*60)</x:f>
      </x:c>
      <x:c r="M114" t="str">
        <x:f>IF(D114="","",IF(J114&gt;=Configuracion!$B$13,"DESLIZAR",IF(J114&gt;=Configuracion!$B$12,"PREPARARSE","NO DESLIZAR")))</x:f>
      </x:c>
      <x:c r="N114" s="41" t="str">
        <x:f>IF(D114="","",D114-$D$8)</x:f>
      </x:c>
      <x:c r="O114" s="46" t="str">
        <x:f>IF(D114="","",MAX(0,MIN(1,N114/Configuracion!$B$10)))</x:f>
      </x:c>
    </x:row>
    <x:row r="115">
      <x:c r="A115" s="34"/>
      <x:c r="B115" s="36"/>
      <x:c r="C115" s="72"/>
      <x:c r="D115" s="71"/>
      <x:c r="E115" s="41" t="str">
        <x:f>IF(D115="","",D115+273.15)</x:f>
      </x:c>
      <x:c r="F115" s="44" t="str">
        <x:f>IF(OR(C115="",D115="",C114=""),"",(C115-C114)/60)</x:f>
      </x:c>
      <x:c r="G115" s="44" t="str">
        <x:f>IF(D115="","",EXP(-Configuracion!$B$4/Configuracion!$B$5*(1/AVERAGE(E114:E115)-1/(Configuracion!$B$3+273.15))))</x:f>
      </x:c>
      <x:c r="H115" s="44" t="str">
        <x:f>IF(D115="","",F115*G115)</x:f>
      </x:c>
      <x:c r="I115" s="44" t="str">
        <x:f>IF(D115="","",I114+H115)</x:f>
      </x:c>
      <x:c r="J115" s="46" t="str">
        <x:f>IF(D115="","",MIN(1,I115/Configuracion!$B$11))</x:f>
      </x:c>
      <x:c r="K115" s="48" t="str">
        <x:f>IF(D115="","",MAX(0,(Configuracion!$B$11-I115)/G115))</x:f>
      </x:c>
      <x:c r="L115" s="73" t="str">
        <x:f>IF(D115="","",C115+K115*60)</x:f>
      </x:c>
      <x:c r="M115" t="str">
        <x:f>IF(D115="","",IF(J115&gt;=Configuracion!$B$13,"DESLIZAR",IF(J115&gt;=Configuracion!$B$12,"PREPARARSE","NO DESLIZAR")))</x:f>
      </x:c>
      <x:c r="N115" s="41" t="str">
        <x:f>IF(D115="","",D115-$D$8)</x:f>
      </x:c>
      <x:c r="O115" s="46" t="str">
        <x:f>IF(D115="","",MAX(0,MIN(1,N115/Configuracion!$B$10)))</x:f>
      </x:c>
    </x:row>
    <x:row r="116">
      <x:c r="A116" s="34"/>
      <x:c r="B116" s="36"/>
      <x:c r="C116" s="72"/>
      <x:c r="D116" s="71"/>
      <x:c r="E116" s="41" t="str">
        <x:f>IF(D116="","",D116+273.15)</x:f>
      </x:c>
      <x:c r="F116" s="44" t="str">
        <x:f>IF(OR(C116="",D116="",C115=""),"",(C116-C115)/60)</x:f>
      </x:c>
      <x:c r="G116" s="44" t="str">
        <x:f>IF(D116="","",EXP(-Configuracion!$B$4/Configuracion!$B$5*(1/AVERAGE(E115:E116)-1/(Configuracion!$B$3+273.15))))</x:f>
      </x:c>
      <x:c r="H116" s="44" t="str">
        <x:f>IF(D116="","",F116*G116)</x:f>
      </x:c>
      <x:c r="I116" s="44" t="str">
        <x:f>IF(D116="","",I115+H116)</x:f>
      </x:c>
      <x:c r="J116" s="46" t="str">
        <x:f>IF(D116="","",MIN(1,I116/Configuracion!$B$11))</x:f>
      </x:c>
      <x:c r="K116" s="48" t="str">
        <x:f>IF(D116="","",MAX(0,(Configuracion!$B$11-I116)/G116))</x:f>
      </x:c>
      <x:c r="L116" s="73" t="str">
        <x:f>IF(D116="","",C116+K116*60)</x:f>
      </x:c>
      <x:c r="M116" t="str">
        <x:f>IF(D116="","",IF(J116&gt;=Configuracion!$B$13,"DESLIZAR",IF(J116&gt;=Configuracion!$B$12,"PREPARARSE","NO DESLIZAR")))</x:f>
      </x:c>
      <x:c r="N116" s="41" t="str">
        <x:f>IF(D116="","",D116-$D$8)</x:f>
      </x:c>
      <x:c r="O116" s="46" t="str">
        <x:f>IF(D116="","",MAX(0,MIN(1,N116/Configuracion!$B$10)))</x:f>
      </x:c>
    </x:row>
    <x:row r="117">
      <x:c r="A117" s="34"/>
      <x:c r="B117" s="36"/>
      <x:c r="C117" s="72"/>
      <x:c r="D117" s="71"/>
      <x:c r="E117" s="41" t="str">
        <x:f>IF(D117="","",D117+273.15)</x:f>
      </x:c>
      <x:c r="F117" s="44" t="str">
        <x:f>IF(OR(C117="",D117="",C116=""),"",(C117-C116)/60)</x:f>
      </x:c>
      <x:c r="G117" s="44" t="str">
        <x:f>IF(D117="","",EXP(-Configuracion!$B$4/Configuracion!$B$5*(1/AVERAGE(E116:E117)-1/(Configuracion!$B$3+273.15))))</x:f>
      </x:c>
      <x:c r="H117" s="44" t="str">
        <x:f>IF(D117="","",F117*G117)</x:f>
      </x:c>
      <x:c r="I117" s="44" t="str">
        <x:f>IF(D117="","",I116+H117)</x:f>
      </x:c>
      <x:c r="J117" s="46" t="str">
        <x:f>IF(D117="","",MIN(1,I117/Configuracion!$B$11))</x:f>
      </x:c>
      <x:c r="K117" s="48" t="str">
        <x:f>IF(D117="","",MAX(0,(Configuracion!$B$11-I117)/G117))</x:f>
      </x:c>
      <x:c r="L117" s="73" t="str">
        <x:f>IF(D117="","",C117+K117*60)</x:f>
      </x:c>
      <x:c r="M117" t="str">
        <x:f>IF(D117="","",IF(J117&gt;=Configuracion!$B$13,"DESLIZAR",IF(J117&gt;=Configuracion!$B$12,"PREPARARSE","NO DESLIZAR")))</x:f>
      </x:c>
      <x:c r="N117" s="41" t="str">
        <x:f>IF(D117="","",D117-$D$8)</x:f>
      </x:c>
      <x:c r="O117" s="46" t="str">
        <x:f>IF(D117="","",MAX(0,MIN(1,N117/Configuracion!$B$10)))</x:f>
      </x:c>
    </x:row>
    <x:row r="118">
      <x:c r="A118" s="34"/>
      <x:c r="B118" s="36"/>
      <x:c r="C118" s="72"/>
      <x:c r="D118" s="71"/>
      <x:c r="E118" s="41" t="str">
        <x:f>IF(D118="","",D118+273.15)</x:f>
      </x:c>
      <x:c r="F118" s="44" t="str">
        <x:f>IF(OR(C118="",D118="",C117=""),"",(C118-C117)/60)</x:f>
      </x:c>
      <x:c r="G118" s="44" t="str">
        <x:f>IF(D118="","",EXP(-Configuracion!$B$4/Configuracion!$B$5*(1/AVERAGE(E117:E118)-1/(Configuracion!$B$3+273.15))))</x:f>
      </x:c>
      <x:c r="H118" s="44" t="str">
        <x:f>IF(D118="","",F118*G118)</x:f>
      </x:c>
      <x:c r="I118" s="44" t="str">
        <x:f>IF(D118="","",I117+H118)</x:f>
      </x:c>
      <x:c r="J118" s="46" t="str">
        <x:f>IF(D118="","",MIN(1,I118/Configuracion!$B$11))</x:f>
      </x:c>
      <x:c r="K118" s="48" t="str">
        <x:f>IF(D118="","",MAX(0,(Configuracion!$B$11-I118)/G118))</x:f>
      </x:c>
      <x:c r="L118" s="73" t="str">
        <x:f>IF(D118="","",C118+K118*60)</x:f>
      </x:c>
      <x:c r="M118" t="str">
        <x:f>IF(D118="","",IF(J118&gt;=Configuracion!$B$13,"DESLIZAR",IF(J118&gt;=Configuracion!$B$12,"PREPARARSE","NO DESLIZAR")))</x:f>
      </x:c>
      <x:c r="N118" s="41" t="str">
        <x:f>IF(D118="","",D118-$D$8)</x:f>
      </x:c>
      <x:c r="O118" s="46" t="str">
        <x:f>IF(D118="","",MAX(0,MIN(1,N118/Configuracion!$B$10)))</x:f>
      </x:c>
    </x:row>
    <x:row r="119">
      <x:c r="A119" s="34"/>
      <x:c r="B119" s="36"/>
      <x:c r="C119" s="72"/>
      <x:c r="D119" s="71"/>
      <x:c r="E119" s="41" t="str">
        <x:f>IF(D119="","",D119+273.15)</x:f>
      </x:c>
      <x:c r="F119" s="44" t="str">
        <x:f>IF(OR(C119="",D119="",C118=""),"",(C119-C118)/60)</x:f>
      </x:c>
      <x:c r="G119" s="44" t="str">
        <x:f>IF(D119="","",EXP(-Configuracion!$B$4/Configuracion!$B$5*(1/AVERAGE(E118:E119)-1/(Configuracion!$B$3+273.15))))</x:f>
      </x:c>
      <x:c r="H119" s="44" t="str">
        <x:f>IF(D119="","",F119*G119)</x:f>
      </x:c>
      <x:c r="I119" s="44" t="str">
        <x:f>IF(D119="","",I118+H119)</x:f>
      </x:c>
      <x:c r="J119" s="46" t="str">
        <x:f>IF(D119="","",MIN(1,I119/Configuracion!$B$11))</x:f>
      </x:c>
      <x:c r="K119" s="48" t="str">
        <x:f>IF(D119="","",MAX(0,(Configuracion!$B$11-I119)/G119))</x:f>
      </x:c>
      <x:c r="L119" s="73" t="str">
        <x:f>IF(D119="","",C119+K119*60)</x:f>
      </x:c>
      <x:c r="M119" t="str">
        <x:f>IF(D119="","",IF(J119&gt;=Configuracion!$B$13,"DESLIZAR",IF(J119&gt;=Configuracion!$B$12,"PREPARARSE","NO DESLIZAR")))</x:f>
      </x:c>
      <x:c r="N119" s="41" t="str">
        <x:f>IF(D119="","",D119-$D$8)</x:f>
      </x:c>
      <x:c r="O119" s="46" t="str">
        <x:f>IF(D119="","",MAX(0,MIN(1,N119/Configuracion!$B$10)))</x:f>
      </x:c>
    </x:row>
    <x:row r="120">
      <x:c r="A120" s="34"/>
      <x:c r="B120" s="36"/>
      <x:c r="C120" s="72"/>
      <x:c r="D120" s="71"/>
      <x:c r="E120" s="41" t="str">
        <x:f>IF(D120="","",D120+273.15)</x:f>
      </x:c>
      <x:c r="F120" s="44" t="str">
        <x:f>IF(OR(C120="",D120="",C119=""),"",(C120-C119)/60)</x:f>
      </x:c>
      <x:c r="G120" s="44" t="str">
        <x:f>IF(D120="","",EXP(-Configuracion!$B$4/Configuracion!$B$5*(1/AVERAGE(E119:E120)-1/(Configuracion!$B$3+273.15))))</x:f>
      </x:c>
      <x:c r="H120" s="44" t="str">
        <x:f>IF(D120="","",F120*G120)</x:f>
      </x:c>
      <x:c r="I120" s="44" t="str">
        <x:f>IF(D120="","",I119+H120)</x:f>
      </x:c>
      <x:c r="J120" s="46" t="str">
        <x:f>IF(D120="","",MIN(1,I120/Configuracion!$B$11))</x:f>
      </x:c>
      <x:c r="K120" s="48" t="str">
        <x:f>IF(D120="","",MAX(0,(Configuracion!$B$11-I120)/G120))</x:f>
      </x:c>
      <x:c r="L120" s="73" t="str">
        <x:f>IF(D120="","",C120+K120*60)</x:f>
      </x:c>
      <x:c r="M120" t="str">
        <x:f>IF(D120="","",IF(J120&gt;=Configuracion!$B$13,"DESLIZAR",IF(J120&gt;=Configuracion!$B$12,"PREPARARSE","NO DESLIZAR")))</x:f>
      </x:c>
      <x:c r="N120" s="41" t="str">
        <x:f>IF(D120="","",D120-$D$8)</x:f>
      </x:c>
      <x:c r="O120" s="46" t="str">
        <x:f>IF(D120="","",MAX(0,MIN(1,N120/Configuracion!$B$10)))</x:f>
      </x:c>
    </x:row>
    <x:row r="121">
      <x:c r="A121" s="34"/>
      <x:c r="B121" s="36"/>
      <x:c r="C121" s="72"/>
      <x:c r="D121" s="71"/>
      <x:c r="E121" s="41" t="str">
        <x:f>IF(D121="","",D121+273.15)</x:f>
      </x:c>
      <x:c r="F121" s="44" t="str">
        <x:f>IF(OR(C121="",D121="",C120=""),"",(C121-C120)/60)</x:f>
      </x:c>
      <x:c r="G121" s="44" t="str">
        <x:f>IF(D121="","",EXP(-Configuracion!$B$4/Configuracion!$B$5*(1/AVERAGE(E120:E121)-1/(Configuracion!$B$3+273.15))))</x:f>
      </x:c>
      <x:c r="H121" s="44" t="str">
        <x:f>IF(D121="","",F121*G121)</x:f>
      </x:c>
      <x:c r="I121" s="44" t="str">
        <x:f>IF(D121="","",I120+H121)</x:f>
      </x:c>
      <x:c r="J121" s="46" t="str">
        <x:f>IF(D121="","",MIN(1,I121/Configuracion!$B$11))</x:f>
      </x:c>
      <x:c r="K121" s="48" t="str">
        <x:f>IF(D121="","",MAX(0,(Configuracion!$B$11-I121)/G121))</x:f>
      </x:c>
      <x:c r="L121" s="73" t="str">
        <x:f>IF(D121="","",C121+K121*60)</x:f>
      </x:c>
      <x:c r="M121" t="str">
        <x:f>IF(D121="","",IF(J121&gt;=Configuracion!$B$13,"DESLIZAR",IF(J121&gt;=Configuracion!$B$12,"PREPARARSE","NO DESLIZAR")))</x:f>
      </x:c>
      <x:c r="N121" s="41" t="str">
        <x:f>IF(D121="","",D121-$D$8)</x:f>
      </x:c>
      <x:c r="O121" s="46" t="str">
        <x:f>IF(D121="","",MAX(0,MIN(1,N121/Configuracion!$B$10)))</x:f>
      </x:c>
    </x:row>
    <x:row r="122">
      <x:c r="A122" s="34"/>
      <x:c r="B122" s="36"/>
      <x:c r="C122" s="72"/>
      <x:c r="D122" s="71"/>
      <x:c r="E122" s="41" t="str">
        <x:f>IF(D122="","",D122+273.15)</x:f>
      </x:c>
      <x:c r="F122" s="44" t="str">
        <x:f>IF(OR(C122="",D122="",C121=""),"",(C122-C121)/60)</x:f>
      </x:c>
      <x:c r="G122" s="44" t="str">
        <x:f>IF(D122="","",EXP(-Configuracion!$B$4/Configuracion!$B$5*(1/AVERAGE(E121:E122)-1/(Configuracion!$B$3+273.15))))</x:f>
      </x:c>
      <x:c r="H122" s="44" t="str">
        <x:f>IF(D122="","",F122*G122)</x:f>
      </x:c>
      <x:c r="I122" s="44" t="str">
        <x:f>IF(D122="","",I121+H122)</x:f>
      </x:c>
      <x:c r="J122" s="46" t="str">
        <x:f>IF(D122="","",MIN(1,I122/Configuracion!$B$11))</x:f>
      </x:c>
      <x:c r="K122" s="48" t="str">
        <x:f>IF(D122="","",MAX(0,(Configuracion!$B$11-I122)/G122))</x:f>
      </x:c>
      <x:c r="L122" s="73" t="str">
        <x:f>IF(D122="","",C122+K122*60)</x:f>
      </x:c>
      <x:c r="M122" t="str">
        <x:f>IF(D122="","",IF(J122&gt;=Configuracion!$B$13,"DESLIZAR",IF(J122&gt;=Configuracion!$B$12,"PREPARARSE","NO DESLIZAR")))</x:f>
      </x:c>
      <x:c r="N122" s="41" t="str">
        <x:f>IF(D122="","",D122-$D$8)</x:f>
      </x:c>
      <x:c r="O122" s="46" t="str">
        <x:f>IF(D122="","",MAX(0,MIN(1,N122/Configuracion!$B$10)))</x:f>
      </x:c>
    </x:row>
    <x:row r="123">
      <x:c r="A123" s="34"/>
      <x:c r="B123" s="36"/>
      <x:c r="C123" s="72"/>
      <x:c r="D123" s="71"/>
      <x:c r="E123" s="41" t="str">
        <x:f>IF(D123="","",D123+273.15)</x:f>
      </x:c>
      <x:c r="F123" s="44" t="str">
        <x:f>IF(OR(C123="",D123="",C122=""),"",(C123-C122)/60)</x:f>
      </x:c>
      <x:c r="G123" s="44" t="str">
        <x:f>IF(D123="","",EXP(-Configuracion!$B$4/Configuracion!$B$5*(1/AVERAGE(E122:E123)-1/(Configuracion!$B$3+273.15))))</x:f>
      </x:c>
      <x:c r="H123" s="44" t="str">
        <x:f>IF(D123="","",F123*G123)</x:f>
      </x:c>
      <x:c r="I123" s="44" t="str">
        <x:f>IF(D123="","",I122+H123)</x:f>
      </x:c>
      <x:c r="J123" s="46" t="str">
        <x:f>IF(D123="","",MIN(1,I123/Configuracion!$B$11))</x:f>
      </x:c>
      <x:c r="K123" s="48" t="str">
        <x:f>IF(D123="","",MAX(0,(Configuracion!$B$11-I123)/G123))</x:f>
      </x:c>
      <x:c r="L123" s="73" t="str">
        <x:f>IF(D123="","",C123+K123*60)</x:f>
      </x:c>
      <x:c r="M123" t="str">
        <x:f>IF(D123="","",IF(J123&gt;=Configuracion!$B$13,"DESLIZAR",IF(J123&gt;=Configuracion!$B$12,"PREPARARSE","NO DESLIZAR")))</x:f>
      </x:c>
      <x:c r="N123" s="41" t="str">
        <x:f>IF(D123="","",D123-$D$8)</x:f>
      </x:c>
      <x:c r="O123" s="46" t="str">
        <x:f>IF(D123="","",MAX(0,MIN(1,N123/Configuracion!$B$10)))</x:f>
      </x:c>
    </x:row>
    <x:row r="124">
      <x:c r="A124" s="34"/>
      <x:c r="B124" s="36"/>
      <x:c r="C124" s="72"/>
      <x:c r="D124" s="71"/>
      <x:c r="E124" s="41" t="str">
        <x:f>IF(D124="","",D124+273.15)</x:f>
      </x:c>
      <x:c r="F124" s="44" t="str">
        <x:f>IF(OR(C124="",D124="",C123=""),"",(C124-C123)/60)</x:f>
      </x:c>
      <x:c r="G124" s="44" t="str">
        <x:f>IF(D124="","",EXP(-Configuracion!$B$4/Configuracion!$B$5*(1/AVERAGE(E123:E124)-1/(Configuracion!$B$3+273.15))))</x:f>
      </x:c>
      <x:c r="H124" s="44" t="str">
        <x:f>IF(D124="","",F124*G124)</x:f>
      </x:c>
      <x:c r="I124" s="44" t="str">
        <x:f>IF(D124="","",I123+H124)</x:f>
      </x:c>
      <x:c r="J124" s="46" t="str">
        <x:f>IF(D124="","",MIN(1,I124/Configuracion!$B$11))</x:f>
      </x:c>
      <x:c r="K124" s="48" t="str">
        <x:f>IF(D124="","",MAX(0,(Configuracion!$B$11-I124)/G124))</x:f>
      </x:c>
      <x:c r="L124" s="73" t="str">
        <x:f>IF(D124="","",C124+K124*60)</x:f>
      </x:c>
      <x:c r="M124" t="str">
        <x:f>IF(D124="","",IF(J124&gt;=Configuracion!$B$13,"DESLIZAR",IF(J124&gt;=Configuracion!$B$12,"PREPARARSE","NO DESLIZAR")))</x:f>
      </x:c>
      <x:c r="N124" s="41" t="str">
        <x:f>IF(D124="","",D124-$D$8)</x:f>
      </x:c>
      <x:c r="O124" s="46" t="str">
        <x:f>IF(D124="","",MAX(0,MIN(1,N124/Configuracion!$B$10)))</x:f>
      </x:c>
    </x:row>
    <x:row r="125">
      <x:c r="A125" s="34"/>
      <x:c r="B125" s="36"/>
      <x:c r="C125" s="72"/>
      <x:c r="D125" s="71"/>
      <x:c r="E125" s="41" t="str">
        <x:f>IF(D125="","",D125+273.15)</x:f>
      </x:c>
      <x:c r="F125" s="44" t="str">
        <x:f>IF(OR(C125="",D125="",C124=""),"",(C125-C124)/60)</x:f>
      </x:c>
      <x:c r="G125" s="44" t="str">
        <x:f>IF(D125="","",EXP(-Configuracion!$B$4/Configuracion!$B$5*(1/AVERAGE(E124:E125)-1/(Configuracion!$B$3+273.15))))</x:f>
      </x:c>
      <x:c r="H125" s="44" t="str">
        <x:f>IF(D125="","",F125*G125)</x:f>
      </x:c>
      <x:c r="I125" s="44" t="str">
        <x:f>IF(D125="","",I124+H125)</x:f>
      </x:c>
      <x:c r="J125" s="46" t="str">
        <x:f>IF(D125="","",MIN(1,I125/Configuracion!$B$11))</x:f>
      </x:c>
      <x:c r="K125" s="48" t="str">
        <x:f>IF(D125="","",MAX(0,(Configuracion!$B$11-I125)/G125))</x:f>
      </x:c>
      <x:c r="L125" s="73" t="str">
        <x:f>IF(D125="","",C125+K125*60)</x:f>
      </x:c>
      <x:c r="M125" t="str">
        <x:f>IF(D125="","",IF(J125&gt;=Configuracion!$B$13,"DESLIZAR",IF(J125&gt;=Configuracion!$B$12,"PREPARARSE","NO DESLIZAR")))</x:f>
      </x:c>
      <x:c r="N125" s="41" t="str">
        <x:f>IF(D125="","",D125-$D$8)</x:f>
      </x:c>
      <x:c r="O125" s="46" t="str">
        <x:f>IF(D125="","",MAX(0,MIN(1,N125/Configuracion!$B$10)))</x:f>
      </x:c>
    </x:row>
    <x:row r="126">
      <x:c r="A126" s="34"/>
      <x:c r="B126" s="36"/>
      <x:c r="C126" s="72"/>
      <x:c r="D126" s="71"/>
      <x:c r="E126" s="41" t="str">
        <x:f>IF(D126="","",D126+273.15)</x:f>
      </x:c>
      <x:c r="F126" s="44" t="str">
        <x:f>IF(OR(C126="",D126="",C125=""),"",(C126-C125)/60)</x:f>
      </x:c>
      <x:c r="G126" s="44" t="str">
        <x:f>IF(D126="","",EXP(-Configuracion!$B$4/Configuracion!$B$5*(1/AVERAGE(E125:E126)-1/(Configuracion!$B$3+273.15))))</x:f>
      </x:c>
      <x:c r="H126" s="44" t="str">
        <x:f>IF(D126="","",F126*G126)</x:f>
      </x:c>
      <x:c r="I126" s="44" t="str">
        <x:f>IF(D126="","",I125+H126)</x:f>
      </x:c>
      <x:c r="J126" s="46" t="str">
        <x:f>IF(D126="","",MIN(1,I126/Configuracion!$B$11))</x:f>
      </x:c>
      <x:c r="K126" s="48" t="str">
        <x:f>IF(D126="","",MAX(0,(Configuracion!$B$11-I126)/G126))</x:f>
      </x:c>
      <x:c r="L126" s="73" t="str">
        <x:f>IF(D126="","",C126+K126*60)</x:f>
      </x:c>
      <x:c r="M126" t="str">
        <x:f>IF(D126="","",IF(J126&gt;=Configuracion!$B$13,"DESLIZAR",IF(J126&gt;=Configuracion!$B$12,"PREPARARSE","NO DESLIZAR")))</x:f>
      </x:c>
      <x:c r="N126" s="41" t="str">
        <x:f>IF(D126="","",D126-$D$8)</x:f>
      </x:c>
      <x:c r="O126" s="46" t="str">
        <x:f>IF(D126="","",MAX(0,MIN(1,N126/Configuracion!$B$10)))</x:f>
      </x:c>
    </x:row>
    <x:row r="127">
      <x:c r="A127" s="34"/>
      <x:c r="B127" s="36"/>
      <x:c r="C127" s="72"/>
      <x:c r="D127" s="71"/>
      <x:c r="E127" s="41" t="str">
        <x:f>IF(D127="","",D127+273.15)</x:f>
      </x:c>
      <x:c r="F127" s="44" t="str">
        <x:f>IF(OR(C127="",D127="",C126=""),"",(C127-C126)/60)</x:f>
      </x:c>
      <x:c r="G127" s="44" t="str">
        <x:f>IF(D127="","",EXP(-Configuracion!$B$4/Configuracion!$B$5*(1/AVERAGE(E126:E127)-1/(Configuracion!$B$3+273.15))))</x:f>
      </x:c>
      <x:c r="H127" s="44" t="str">
        <x:f>IF(D127="","",F127*G127)</x:f>
      </x:c>
      <x:c r="I127" s="44" t="str">
        <x:f>IF(D127="","",I126+H127)</x:f>
      </x:c>
      <x:c r="J127" s="46" t="str">
        <x:f>IF(D127="","",MIN(1,I127/Configuracion!$B$11))</x:f>
      </x:c>
      <x:c r="K127" s="48" t="str">
        <x:f>IF(D127="","",MAX(0,(Configuracion!$B$11-I127)/G127))</x:f>
      </x:c>
      <x:c r="L127" s="73" t="str">
        <x:f>IF(D127="","",C127+K127*60)</x:f>
      </x:c>
      <x:c r="M127" t="str">
        <x:f>IF(D127="","",IF(J127&gt;=Configuracion!$B$13,"DESLIZAR",IF(J127&gt;=Configuracion!$B$12,"PREPARARSE","NO DESLIZAR")))</x:f>
      </x:c>
      <x:c r="N127" s="41" t="str">
        <x:f>IF(D127="","",D127-$D$8)</x:f>
      </x:c>
      <x:c r="O127" s="46" t="str">
        <x:f>IF(D127="","",MAX(0,MIN(1,N127/Configuracion!$B$10)))</x:f>
      </x:c>
    </x:row>
    <x:row r="128">
      <x:c r="A128" s="34"/>
      <x:c r="B128" s="36"/>
      <x:c r="C128" s="72"/>
      <x:c r="D128" s="71"/>
      <x:c r="E128" s="41" t="str">
        <x:f>IF(D128="","",D128+273.15)</x:f>
      </x:c>
      <x:c r="F128" s="44" t="str">
        <x:f>IF(OR(C128="",D128="",C127=""),"",(C128-C127)/60)</x:f>
      </x:c>
      <x:c r="G128" s="44" t="str">
        <x:f>IF(D128="","",EXP(-Configuracion!$B$4/Configuracion!$B$5*(1/AVERAGE(E127:E128)-1/(Configuracion!$B$3+273.15))))</x:f>
      </x:c>
      <x:c r="H128" s="44" t="str">
        <x:f>IF(D128="","",F128*G128)</x:f>
      </x:c>
      <x:c r="I128" s="44" t="str">
        <x:f>IF(D128="","",I127+H128)</x:f>
      </x:c>
      <x:c r="J128" s="46" t="str">
        <x:f>IF(D128="","",MIN(1,I128/Configuracion!$B$11))</x:f>
      </x:c>
      <x:c r="K128" s="48" t="str">
        <x:f>IF(D128="","",MAX(0,(Configuracion!$B$11-I128)/G128))</x:f>
      </x:c>
      <x:c r="L128" s="73" t="str">
        <x:f>IF(D128="","",C128+K128*60)</x:f>
      </x:c>
      <x:c r="M128" t="str">
        <x:f>IF(D128="","",IF(J128&gt;=Configuracion!$B$13,"DESLIZAR",IF(J128&gt;=Configuracion!$B$12,"PREPARARSE","NO DESLIZAR")))</x:f>
      </x:c>
      <x:c r="N128" s="41" t="str">
        <x:f>IF(D128="","",D128-$D$8)</x:f>
      </x:c>
      <x:c r="O128" s="46" t="str">
        <x:f>IF(D128="","",MAX(0,MIN(1,N128/Configuracion!$B$10)))</x:f>
      </x:c>
    </x:row>
    <x:row r="129">
      <x:c r="A129" s="34"/>
      <x:c r="B129" s="36"/>
      <x:c r="C129" s="72"/>
      <x:c r="D129" s="71"/>
      <x:c r="E129" s="41" t="str">
        <x:f>IF(D129="","",D129+273.15)</x:f>
      </x:c>
      <x:c r="F129" s="44" t="str">
        <x:f>IF(OR(C129="",D129="",C128=""),"",(C129-C128)/60)</x:f>
      </x:c>
      <x:c r="G129" s="44" t="str">
        <x:f>IF(D129="","",EXP(-Configuracion!$B$4/Configuracion!$B$5*(1/AVERAGE(E128:E129)-1/(Configuracion!$B$3+273.15))))</x:f>
      </x:c>
      <x:c r="H129" s="44" t="str">
        <x:f>IF(D129="","",F129*G129)</x:f>
      </x:c>
      <x:c r="I129" s="44" t="str">
        <x:f>IF(D129="","",I128+H129)</x:f>
      </x:c>
      <x:c r="J129" s="46" t="str">
        <x:f>IF(D129="","",MIN(1,I129/Configuracion!$B$11))</x:f>
      </x:c>
      <x:c r="K129" s="48" t="str">
        <x:f>IF(D129="","",MAX(0,(Configuracion!$B$11-I129)/G129))</x:f>
      </x:c>
      <x:c r="L129" s="73" t="str">
        <x:f>IF(D129="","",C129+K129*60)</x:f>
      </x:c>
      <x:c r="M129" t="str">
        <x:f>IF(D129="","",IF(J129&gt;=Configuracion!$B$13,"DESLIZAR",IF(J129&gt;=Configuracion!$B$12,"PREPARARSE","NO DESLIZAR")))</x:f>
      </x:c>
      <x:c r="N129" s="41" t="str">
        <x:f>IF(D129="","",D129-$D$8)</x:f>
      </x:c>
      <x:c r="O129" s="46" t="str">
        <x:f>IF(D129="","",MAX(0,MIN(1,N129/Configuracion!$B$10)))</x:f>
      </x:c>
    </x:row>
    <x:row r="130">
      <x:c r="A130" s="34"/>
      <x:c r="B130" s="36"/>
      <x:c r="C130" s="72"/>
      <x:c r="D130" s="71"/>
      <x:c r="E130" s="41" t="str">
        <x:f>IF(D130="","",D130+273.15)</x:f>
      </x:c>
      <x:c r="F130" s="44" t="str">
        <x:f>IF(OR(C130="",D130="",C129=""),"",(C130-C129)/60)</x:f>
      </x:c>
      <x:c r="G130" s="44" t="str">
        <x:f>IF(D130="","",EXP(-Configuracion!$B$4/Configuracion!$B$5*(1/AVERAGE(E129:E130)-1/(Configuracion!$B$3+273.15))))</x:f>
      </x:c>
      <x:c r="H130" s="44" t="str">
        <x:f>IF(D130="","",F130*G130)</x:f>
      </x:c>
      <x:c r="I130" s="44" t="str">
        <x:f>IF(D130="","",I129+H130)</x:f>
      </x:c>
      <x:c r="J130" s="46" t="str">
        <x:f>IF(D130="","",MIN(1,I130/Configuracion!$B$11))</x:f>
      </x:c>
      <x:c r="K130" s="48" t="str">
        <x:f>IF(D130="","",MAX(0,(Configuracion!$B$11-I130)/G130))</x:f>
      </x:c>
      <x:c r="L130" s="73" t="str">
        <x:f>IF(D130="","",C130+K130*60)</x:f>
      </x:c>
      <x:c r="M130" t="str">
        <x:f>IF(D130="","",IF(J130&gt;=Configuracion!$B$13,"DESLIZAR",IF(J130&gt;=Configuracion!$B$12,"PREPARARSE","NO DESLIZAR")))</x:f>
      </x:c>
      <x:c r="N130" s="41" t="str">
        <x:f>IF(D130="","",D130-$D$8)</x:f>
      </x:c>
      <x:c r="O130" s="46" t="str">
        <x:f>IF(D130="","",MAX(0,MIN(1,N130/Configuracion!$B$10)))</x:f>
      </x:c>
    </x:row>
    <x:row r="131">
      <x:c r="A131" s="34"/>
      <x:c r="B131" s="36"/>
      <x:c r="C131" s="72"/>
      <x:c r="D131" s="71"/>
      <x:c r="E131" s="41" t="str">
        <x:f>IF(D131="","",D131+273.15)</x:f>
      </x:c>
      <x:c r="F131" s="44" t="str">
        <x:f>IF(OR(C131="",D131="",C130=""),"",(C131-C130)/60)</x:f>
      </x:c>
      <x:c r="G131" s="44" t="str">
        <x:f>IF(D131="","",EXP(-Configuracion!$B$4/Configuracion!$B$5*(1/AVERAGE(E130:E131)-1/(Configuracion!$B$3+273.15))))</x:f>
      </x:c>
      <x:c r="H131" s="44" t="str">
        <x:f>IF(D131="","",F131*G131)</x:f>
      </x:c>
      <x:c r="I131" s="44" t="str">
        <x:f>IF(D131="","",I130+H131)</x:f>
      </x:c>
      <x:c r="J131" s="46" t="str">
        <x:f>IF(D131="","",MIN(1,I131/Configuracion!$B$11))</x:f>
      </x:c>
      <x:c r="K131" s="48" t="str">
        <x:f>IF(D131="","",MAX(0,(Configuracion!$B$11-I131)/G131))</x:f>
      </x:c>
      <x:c r="L131" s="73" t="str">
        <x:f>IF(D131="","",C131+K131*60)</x:f>
      </x:c>
      <x:c r="M131" t="str">
        <x:f>IF(D131="","",IF(J131&gt;=Configuracion!$B$13,"DESLIZAR",IF(J131&gt;=Configuracion!$B$12,"PREPARARSE","NO DESLIZAR")))</x:f>
      </x:c>
      <x:c r="N131" s="41" t="str">
        <x:f>IF(D131="","",D131-$D$8)</x:f>
      </x:c>
      <x:c r="O131" s="46" t="str">
        <x:f>IF(D131="","",MAX(0,MIN(1,N131/Configuracion!$B$10)))</x:f>
      </x:c>
    </x:row>
    <x:row r="132">
      <x:c r="A132" s="34"/>
      <x:c r="B132" s="36"/>
      <x:c r="C132" s="72"/>
      <x:c r="D132" s="71"/>
      <x:c r="E132" s="41" t="str">
        <x:f>IF(D132="","",D132+273.15)</x:f>
      </x:c>
      <x:c r="F132" s="44" t="str">
        <x:f>IF(OR(C132="",D132="",C131=""),"",(C132-C131)/60)</x:f>
      </x:c>
      <x:c r="G132" s="44" t="str">
        <x:f>IF(D132="","",EXP(-Configuracion!$B$4/Configuracion!$B$5*(1/AVERAGE(E131:E132)-1/(Configuracion!$B$3+273.15))))</x:f>
      </x:c>
      <x:c r="H132" s="44" t="str">
        <x:f>IF(D132="","",F132*G132)</x:f>
      </x:c>
      <x:c r="I132" s="44" t="str">
        <x:f>IF(D132="","",I131+H132)</x:f>
      </x:c>
      <x:c r="J132" s="46" t="str">
        <x:f>IF(D132="","",MIN(1,I132/Configuracion!$B$11))</x:f>
      </x:c>
      <x:c r="K132" s="48" t="str">
        <x:f>IF(D132="","",MAX(0,(Configuracion!$B$11-I132)/G132))</x:f>
      </x:c>
      <x:c r="L132" s="73" t="str">
        <x:f>IF(D132="","",C132+K132*60)</x:f>
      </x:c>
      <x:c r="M132" t="str">
        <x:f>IF(D132="","",IF(J132&gt;=Configuracion!$B$13,"DESLIZAR",IF(J132&gt;=Configuracion!$B$12,"PREPARARSE","NO DESLIZAR")))</x:f>
      </x:c>
      <x:c r="N132" s="41" t="str">
        <x:f>IF(D132="","",D132-$D$8)</x:f>
      </x:c>
      <x:c r="O132" s="46" t="str">
        <x:f>IF(D132="","",MAX(0,MIN(1,N132/Configuracion!$B$10)))</x:f>
      </x:c>
    </x:row>
    <x:row r="133">
      <x:c r="A133" s="34"/>
      <x:c r="B133" s="36"/>
      <x:c r="C133" s="72"/>
      <x:c r="D133" s="71"/>
      <x:c r="E133" s="41" t="str">
        <x:f>IF(D133="","",D133+273.15)</x:f>
      </x:c>
      <x:c r="F133" s="44" t="str">
        <x:f>IF(OR(C133="",D133="",C132=""),"",(C133-C132)/60)</x:f>
      </x:c>
      <x:c r="G133" s="44" t="str">
        <x:f>IF(D133="","",EXP(-Configuracion!$B$4/Configuracion!$B$5*(1/AVERAGE(E132:E133)-1/(Configuracion!$B$3+273.15))))</x:f>
      </x:c>
      <x:c r="H133" s="44" t="str">
        <x:f>IF(D133="","",F133*G133)</x:f>
      </x:c>
      <x:c r="I133" s="44" t="str">
        <x:f>IF(D133="","",I132+H133)</x:f>
      </x:c>
      <x:c r="J133" s="46" t="str">
        <x:f>IF(D133="","",MIN(1,I133/Configuracion!$B$11))</x:f>
      </x:c>
      <x:c r="K133" s="48" t="str">
        <x:f>IF(D133="","",MAX(0,(Configuracion!$B$11-I133)/G133))</x:f>
      </x:c>
      <x:c r="L133" s="73" t="str">
        <x:f>IF(D133="","",C133+K133*60)</x:f>
      </x:c>
      <x:c r="M133" t="str">
        <x:f>IF(D133="","",IF(J133&gt;=Configuracion!$B$13,"DESLIZAR",IF(J133&gt;=Configuracion!$B$12,"PREPARARSE","NO DESLIZAR")))</x:f>
      </x:c>
      <x:c r="N133" s="41" t="str">
        <x:f>IF(D133="","",D133-$D$8)</x:f>
      </x:c>
      <x:c r="O133" s="46" t="str">
        <x:f>IF(D133="","",MAX(0,MIN(1,N133/Configuracion!$B$10)))</x:f>
      </x:c>
    </x:row>
    <x:row r="134">
      <x:c r="A134" s="34"/>
      <x:c r="B134" s="36"/>
      <x:c r="C134" s="72"/>
      <x:c r="D134" s="71"/>
      <x:c r="E134" s="41" t="str">
        <x:f>IF(D134="","",D134+273.15)</x:f>
      </x:c>
      <x:c r="F134" s="44" t="str">
        <x:f>IF(OR(C134="",D134="",C133=""),"",(C134-C133)/60)</x:f>
      </x:c>
      <x:c r="G134" s="44" t="str">
        <x:f>IF(D134="","",EXP(-Configuracion!$B$4/Configuracion!$B$5*(1/AVERAGE(E133:E134)-1/(Configuracion!$B$3+273.15))))</x:f>
      </x:c>
      <x:c r="H134" s="44" t="str">
        <x:f>IF(D134="","",F134*G134)</x:f>
      </x:c>
      <x:c r="I134" s="44" t="str">
        <x:f>IF(D134="","",I133+H134)</x:f>
      </x:c>
      <x:c r="J134" s="46" t="str">
        <x:f>IF(D134="","",MIN(1,I134/Configuracion!$B$11))</x:f>
      </x:c>
      <x:c r="K134" s="48" t="str">
        <x:f>IF(D134="","",MAX(0,(Configuracion!$B$11-I134)/G134))</x:f>
      </x:c>
      <x:c r="L134" s="73" t="str">
        <x:f>IF(D134="","",C134+K134*60)</x:f>
      </x:c>
      <x:c r="M134" t="str">
        <x:f>IF(D134="","",IF(J134&gt;=Configuracion!$B$13,"DESLIZAR",IF(J134&gt;=Configuracion!$B$12,"PREPARARSE","NO DESLIZAR")))</x:f>
      </x:c>
      <x:c r="N134" s="41" t="str">
        <x:f>IF(D134="","",D134-$D$8)</x:f>
      </x:c>
      <x:c r="O134" s="46" t="str">
        <x:f>IF(D134="","",MAX(0,MIN(1,N134/Configuracion!$B$10)))</x:f>
      </x:c>
    </x:row>
    <x:row r="135">
      <x:c r="A135" s="34"/>
      <x:c r="B135" s="36"/>
      <x:c r="C135" s="72"/>
      <x:c r="D135" s="71"/>
      <x:c r="E135" s="41" t="str">
        <x:f>IF(D135="","",D135+273.15)</x:f>
      </x:c>
      <x:c r="F135" s="44" t="str">
        <x:f>IF(OR(C135="",D135="",C134=""),"",(C135-C134)/60)</x:f>
      </x:c>
      <x:c r="G135" s="44" t="str">
        <x:f>IF(D135="","",EXP(-Configuracion!$B$4/Configuracion!$B$5*(1/AVERAGE(E134:E135)-1/(Configuracion!$B$3+273.15))))</x:f>
      </x:c>
      <x:c r="H135" s="44" t="str">
        <x:f>IF(D135="","",F135*G135)</x:f>
      </x:c>
      <x:c r="I135" s="44" t="str">
        <x:f>IF(D135="","",I134+H135)</x:f>
      </x:c>
      <x:c r="J135" s="46" t="str">
        <x:f>IF(D135="","",MIN(1,I135/Configuracion!$B$11))</x:f>
      </x:c>
      <x:c r="K135" s="48" t="str">
        <x:f>IF(D135="","",MAX(0,(Configuracion!$B$11-I135)/G135))</x:f>
      </x:c>
      <x:c r="L135" s="73" t="str">
        <x:f>IF(D135="","",C135+K135*60)</x:f>
      </x:c>
      <x:c r="M135" t="str">
        <x:f>IF(D135="","",IF(J135&gt;=Configuracion!$B$13,"DESLIZAR",IF(J135&gt;=Configuracion!$B$12,"PREPARARSE","NO DESLIZAR")))</x:f>
      </x:c>
      <x:c r="N135" s="41" t="str">
        <x:f>IF(D135="","",D135-$D$8)</x:f>
      </x:c>
      <x:c r="O135" s="46" t="str">
        <x:f>IF(D135="","",MAX(0,MIN(1,N135/Configuracion!$B$10)))</x:f>
      </x:c>
    </x:row>
    <x:row r="136">
      <x:c r="A136" s="34"/>
      <x:c r="B136" s="36"/>
      <x:c r="C136" s="72"/>
      <x:c r="D136" s="71"/>
      <x:c r="E136" s="41" t="str">
        <x:f>IF(D136="","",D136+273.15)</x:f>
      </x:c>
      <x:c r="F136" s="44" t="str">
        <x:f>IF(OR(C136="",D136="",C135=""),"",(C136-C135)/60)</x:f>
      </x:c>
      <x:c r="G136" s="44" t="str">
        <x:f>IF(D136="","",EXP(-Configuracion!$B$4/Configuracion!$B$5*(1/AVERAGE(E135:E136)-1/(Configuracion!$B$3+273.15))))</x:f>
      </x:c>
      <x:c r="H136" s="44" t="str">
        <x:f>IF(D136="","",F136*G136)</x:f>
      </x:c>
      <x:c r="I136" s="44" t="str">
        <x:f>IF(D136="","",I135+H136)</x:f>
      </x:c>
      <x:c r="J136" s="46" t="str">
        <x:f>IF(D136="","",MIN(1,I136/Configuracion!$B$11))</x:f>
      </x:c>
      <x:c r="K136" s="48" t="str">
        <x:f>IF(D136="","",MAX(0,(Configuracion!$B$11-I136)/G136))</x:f>
      </x:c>
      <x:c r="L136" s="73" t="str">
        <x:f>IF(D136="","",C136+K136*60)</x:f>
      </x:c>
      <x:c r="M136" t="str">
        <x:f>IF(D136="","",IF(J136&gt;=Configuracion!$B$13,"DESLIZAR",IF(J136&gt;=Configuracion!$B$12,"PREPARARSE","NO DESLIZAR")))</x:f>
      </x:c>
      <x:c r="N136" s="41" t="str">
        <x:f>IF(D136="","",D136-$D$8)</x:f>
      </x:c>
      <x:c r="O136" s="46" t="str">
        <x:f>IF(D136="","",MAX(0,MIN(1,N136/Configuracion!$B$10)))</x:f>
      </x:c>
    </x:row>
    <x:row r="137">
      <x:c r="A137" s="34"/>
      <x:c r="B137" s="36"/>
      <x:c r="C137" s="72"/>
      <x:c r="D137" s="71"/>
      <x:c r="E137" s="41" t="str">
        <x:f>IF(D137="","",D137+273.15)</x:f>
      </x:c>
      <x:c r="F137" s="44" t="str">
        <x:f>IF(OR(C137="",D137="",C136=""),"",(C137-C136)/60)</x:f>
      </x:c>
      <x:c r="G137" s="44" t="str">
        <x:f>IF(D137="","",EXP(-Configuracion!$B$4/Configuracion!$B$5*(1/AVERAGE(E136:E137)-1/(Configuracion!$B$3+273.15))))</x:f>
      </x:c>
      <x:c r="H137" s="44" t="str">
        <x:f>IF(D137="","",F137*G137)</x:f>
      </x:c>
      <x:c r="I137" s="44" t="str">
        <x:f>IF(D137="","",I136+H137)</x:f>
      </x:c>
      <x:c r="J137" s="46" t="str">
        <x:f>IF(D137="","",MIN(1,I137/Configuracion!$B$11))</x:f>
      </x:c>
      <x:c r="K137" s="48" t="str">
        <x:f>IF(D137="","",MAX(0,(Configuracion!$B$11-I137)/G137))</x:f>
      </x:c>
      <x:c r="L137" s="73" t="str">
        <x:f>IF(D137="","",C137+K137*60)</x:f>
      </x:c>
      <x:c r="M137" t="str">
        <x:f>IF(D137="","",IF(J137&gt;=Configuracion!$B$13,"DESLIZAR",IF(J137&gt;=Configuracion!$B$12,"PREPARARSE","NO DESLIZAR")))</x:f>
      </x:c>
      <x:c r="N137" s="41" t="str">
        <x:f>IF(D137="","",D137-$D$8)</x:f>
      </x:c>
      <x:c r="O137" s="46" t="str">
        <x:f>IF(D137="","",MAX(0,MIN(1,N137/Configuracion!$B$10)))</x:f>
      </x:c>
    </x:row>
    <x:row r="138">
      <x:c r="A138" s="34"/>
      <x:c r="B138" s="36"/>
      <x:c r="C138" s="72"/>
      <x:c r="D138" s="71"/>
      <x:c r="E138" s="41" t="str">
        <x:f>IF(D138="","",D138+273.15)</x:f>
      </x:c>
      <x:c r="F138" s="44" t="str">
        <x:f>IF(OR(C138="",D138="",C137=""),"",(C138-C137)/60)</x:f>
      </x:c>
      <x:c r="G138" s="44" t="str">
        <x:f>IF(D138="","",EXP(-Configuracion!$B$4/Configuracion!$B$5*(1/AVERAGE(E137:E138)-1/(Configuracion!$B$3+273.15))))</x:f>
      </x:c>
      <x:c r="H138" s="44" t="str">
        <x:f>IF(D138="","",F138*G138)</x:f>
      </x:c>
      <x:c r="I138" s="44" t="str">
        <x:f>IF(D138="","",I137+H138)</x:f>
      </x:c>
      <x:c r="J138" s="46" t="str">
        <x:f>IF(D138="","",MIN(1,I138/Configuracion!$B$11))</x:f>
      </x:c>
      <x:c r="K138" s="48" t="str">
        <x:f>IF(D138="","",MAX(0,(Configuracion!$B$11-I138)/G138))</x:f>
      </x:c>
      <x:c r="L138" s="73" t="str">
        <x:f>IF(D138="","",C138+K138*60)</x:f>
      </x:c>
      <x:c r="M138" t="str">
        <x:f>IF(D138="","",IF(J138&gt;=Configuracion!$B$13,"DESLIZAR",IF(J138&gt;=Configuracion!$B$12,"PREPARARSE","NO DESLIZAR")))</x:f>
      </x:c>
      <x:c r="N138" s="41" t="str">
        <x:f>IF(D138="","",D138-$D$8)</x:f>
      </x:c>
      <x:c r="O138" s="46" t="str">
        <x:f>IF(D138="","",MAX(0,MIN(1,N138/Configuracion!$B$10)))</x:f>
      </x:c>
    </x:row>
    <x:row r="139">
      <x:c r="A139" s="34"/>
      <x:c r="B139" s="36"/>
      <x:c r="C139" s="72"/>
      <x:c r="D139" s="71"/>
      <x:c r="E139" s="41" t="str">
        <x:f>IF(D139="","",D139+273.15)</x:f>
      </x:c>
      <x:c r="F139" s="44" t="str">
        <x:f>IF(OR(C139="",D139="",C138=""),"",(C139-C138)/60)</x:f>
      </x:c>
      <x:c r="G139" s="44" t="str">
        <x:f>IF(D139="","",EXP(-Configuracion!$B$4/Configuracion!$B$5*(1/AVERAGE(E138:E139)-1/(Configuracion!$B$3+273.15))))</x:f>
      </x:c>
      <x:c r="H139" s="44" t="str">
        <x:f>IF(D139="","",F139*G139)</x:f>
      </x:c>
      <x:c r="I139" s="44" t="str">
        <x:f>IF(D139="","",I138+H139)</x:f>
      </x:c>
      <x:c r="J139" s="46" t="str">
        <x:f>IF(D139="","",MIN(1,I139/Configuracion!$B$11))</x:f>
      </x:c>
      <x:c r="K139" s="48" t="str">
        <x:f>IF(D139="","",MAX(0,(Configuracion!$B$11-I139)/G139))</x:f>
      </x:c>
      <x:c r="L139" s="73" t="str">
        <x:f>IF(D139="","",C139+K139*60)</x:f>
      </x:c>
      <x:c r="M139" t="str">
        <x:f>IF(D139="","",IF(J139&gt;=Configuracion!$B$13,"DESLIZAR",IF(J139&gt;=Configuracion!$B$12,"PREPARARSE","NO DESLIZAR")))</x:f>
      </x:c>
      <x:c r="N139" s="41" t="str">
        <x:f>IF(D139="","",D139-$D$8)</x:f>
      </x:c>
      <x:c r="O139" s="46" t="str">
        <x:f>IF(D139="","",MAX(0,MIN(1,N139/Configuracion!$B$10)))</x:f>
      </x:c>
    </x:row>
    <x:row r="140">
      <x:c r="A140" s="34"/>
      <x:c r="B140" s="36"/>
      <x:c r="C140" s="72"/>
      <x:c r="D140" s="71"/>
      <x:c r="E140" s="41" t="str">
        <x:f>IF(D140="","",D140+273.15)</x:f>
      </x:c>
      <x:c r="F140" s="44" t="str">
        <x:f>IF(OR(C140="",D140="",C139=""),"",(C140-C139)/60)</x:f>
      </x:c>
      <x:c r="G140" s="44" t="str">
        <x:f>IF(D140="","",EXP(-Configuracion!$B$4/Configuracion!$B$5*(1/AVERAGE(E139:E140)-1/(Configuracion!$B$3+273.15))))</x:f>
      </x:c>
      <x:c r="H140" s="44" t="str">
        <x:f>IF(D140="","",F140*G140)</x:f>
      </x:c>
      <x:c r="I140" s="44" t="str">
        <x:f>IF(D140="","",I139+H140)</x:f>
      </x:c>
      <x:c r="J140" s="46" t="str">
        <x:f>IF(D140="","",MIN(1,I140/Configuracion!$B$11))</x:f>
      </x:c>
      <x:c r="K140" s="48" t="str">
        <x:f>IF(D140="","",MAX(0,(Configuracion!$B$11-I140)/G140))</x:f>
      </x:c>
      <x:c r="L140" s="73" t="str">
        <x:f>IF(D140="","",C140+K140*60)</x:f>
      </x:c>
      <x:c r="M140" t="str">
        <x:f>IF(D140="","",IF(J140&gt;=Configuracion!$B$13,"DESLIZAR",IF(J140&gt;=Configuracion!$B$12,"PREPARARSE","NO DESLIZAR")))</x:f>
      </x:c>
      <x:c r="N140" s="41" t="str">
        <x:f>IF(D140="","",D140-$D$8)</x:f>
      </x:c>
      <x:c r="O140" s="46" t="str">
        <x:f>IF(D140="","",MAX(0,MIN(1,N140/Configuracion!$B$10)))</x:f>
      </x:c>
    </x:row>
    <x:row r="141">
      <x:c r="A141" s="34"/>
      <x:c r="B141" s="36"/>
      <x:c r="C141" s="72"/>
      <x:c r="D141" s="71"/>
      <x:c r="E141" s="41" t="str">
        <x:f>IF(D141="","",D141+273.15)</x:f>
      </x:c>
      <x:c r="F141" s="44" t="str">
        <x:f>IF(OR(C141="",D141="",C140=""),"",(C141-C140)/60)</x:f>
      </x:c>
      <x:c r="G141" s="44" t="str">
        <x:f>IF(D141="","",EXP(-Configuracion!$B$4/Configuracion!$B$5*(1/AVERAGE(E140:E141)-1/(Configuracion!$B$3+273.15))))</x:f>
      </x:c>
      <x:c r="H141" s="44" t="str">
        <x:f>IF(D141="","",F141*G141)</x:f>
      </x:c>
      <x:c r="I141" s="44" t="str">
        <x:f>IF(D141="","",I140+H141)</x:f>
      </x:c>
      <x:c r="J141" s="46" t="str">
        <x:f>IF(D141="","",MIN(1,I141/Configuracion!$B$11))</x:f>
      </x:c>
      <x:c r="K141" s="48" t="str">
        <x:f>IF(D141="","",MAX(0,(Configuracion!$B$11-I141)/G141))</x:f>
      </x:c>
      <x:c r="L141" s="73" t="str">
        <x:f>IF(D141="","",C141+K141*60)</x:f>
      </x:c>
      <x:c r="M141" t="str">
        <x:f>IF(D141="","",IF(J141&gt;=Configuracion!$B$13,"DESLIZAR",IF(J141&gt;=Configuracion!$B$12,"PREPARARSE","NO DESLIZAR")))</x:f>
      </x:c>
      <x:c r="N141" s="41" t="str">
        <x:f>IF(D141="","",D141-$D$8)</x:f>
      </x:c>
      <x:c r="O141" s="46" t="str">
        <x:f>IF(D141="","",MAX(0,MIN(1,N141/Configuracion!$B$10)))</x:f>
      </x:c>
    </x:row>
    <x:row r="142">
      <x:c r="A142" s="34"/>
      <x:c r="B142" s="36"/>
      <x:c r="C142" s="72"/>
      <x:c r="D142" s="71"/>
      <x:c r="E142" s="41" t="str">
        <x:f>IF(D142="","",D142+273.15)</x:f>
      </x:c>
      <x:c r="F142" s="44" t="str">
        <x:f>IF(OR(C142="",D142="",C141=""),"",(C142-C141)/60)</x:f>
      </x:c>
      <x:c r="G142" s="44" t="str">
        <x:f>IF(D142="","",EXP(-Configuracion!$B$4/Configuracion!$B$5*(1/AVERAGE(E141:E142)-1/(Configuracion!$B$3+273.15))))</x:f>
      </x:c>
      <x:c r="H142" s="44" t="str">
        <x:f>IF(D142="","",F142*G142)</x:f>
      </x:c>
      <x:c r="I142" s="44" t="str">
        <x:f>IF(D142="","",I141+H142)</x:f>
      </x:c>
      <x:c r="J142" s="46" t="str">
        <x:f>IF(D142="","",MIN(1,I142/Configuracion!$B$11))</x:f>
      </x:c>
      <x:c r="K142" s="48" t="str">
        <x:f>IF(D142="","",MAX(0,(Configuracion!$B$11-I142)/G142))</x:f>
      </x:c>
      <x:c r="L142" s="73" t="str">
        <x:f>IF(D142="","",C142+K142*60)</x:f>
      </x:c>
      <x:c r="M142" t="str">
        <x:f>IF(D142="","",IF(J142&gt;=Configuracion!$B$13,"DESLIZAR",IF(J142&gt;=Configuracion!$B$12,"PREPARARSE","NO DESLIZAR")))</x:f>
      </x:c>
      <x:c r="N142" s="41" t="str">
        <x:f>IF(D142="","",D142-$D$8)</x:f>
      </x:c>
      <x:c r="O142" s="46" t="str">
        <x:f>IF(D142="","",MAX(0,MIN(1,N142/Configuracion!$B$10)))</x:f>
      </x:c>
    </x:row>
    <x:row r="143">
      <x:c r="A143" s="34"/>
      <x:c r="B143" s="36"/>
      <x:c r="C143" s="72"/>
      <x:c r="D143" s="71"/>
      <x:c r="E143" s="41" t="str">
        <x:f>IF(D143="","",D143+273.15)</x:f>
      </x:c>
      <x:c r="F143" s="44" t="str">
        <x:f>IF(OR(C143="",D143="",C142=""),"",(C143-C142)/60)</x:f>
      </x:c>
      <x:c r="G143" s="44" t="str">
        <x:f>IF(D143="","",EXP(-Configuracion!$B$4/Configuracion!$B$5*(1/AVERAGE(E142:E143)-1/(Configuracion!$B$3+273.15))))</x:f>
      </x:c>
      <x:c r="H143" s="44" t="str">
        <x:f>IF(D143="","",F143*G143)</x:f>
      </x:c>
      <x:c r="I143" s="44" t="str">
        <x:f>IF(D143="","",I142+H143)</x:f>
      </x:c>
      <x:c r="J143" s="46" t="str">
        <x:f>IF(D143="","",MIN(1,I143/Configuracion!$B$11))</x:f>
      </x:c>
      <x:c r="K143" s="48" t="str">
        <x:f>IF(D143="","",MAX(0,(Configuracion!$B$11-I143)/G143))</x:f>
      </x:c>
      <x:c r="L143" s="73" t="str">
        <x:f>IF(D143="","",C143+K143*60)</x:f>
      </x:c>
      <x:c r="M143" t="str">
        <x:f>IF(D143="","",IF(J143&gt;=Configuracion!$B$13,"DESLIZAR",IF(J143&gt;=Configuracion!$B$12,"PREPARARSE","NO DESLIZAR")))</x:f>
      </x:c>
      <x:c r="N143" s="41" t="str">
        <x:f>IF(D143="","",D143-$D$8)</x:f>
      </x:c>
      <x:c r="O143" s="46" t="str">
        <x:f>IF(D143="","",MAX(0,MIN(1,N143/Configuracion!$B$10)))</x:f>
      </x:c>
    </x:row>
    <x:row r="144">
      <x:c r="A144" s="34"/>
      <x:c r="B144" s="36"/>
      <x:c r="C144" s="72"/>
      <x:c r="D144" s="71"/>
      <x:c r="E144" s="41" t="str">
        <x:f>IF(D144="","",D144+273.15)</x:f>
      </x:c>
      <x:c r="F144" s="44" t="str">
        <x:f>IF(OR(C144="",D144="",C143=""),"",(C144-C143)/60)</x:f>
      </x:c>
      <x:c r="G144" s="44" t="str">
        <x:f>IF(D144="","",EXP(-Configuracion!$B$4/Configuracion!$B$5*(1/AVERAGE(E143:E144)-1/(Configuracion!$B$3+273.15))))</x:f>
      </x:c>
      <x:c r="H144" s="44" t="str">
        <x:f>IF(D144="","",F144*G144)</x:f>
      </x:c>
      <x:c r="I144" s="44" t="str">
        <x:f>IF(D144="","",I143+H144)</x:f>
      </x:c>
      <x:c r="J144" s="46" t="str">
        <x:f>IF(D144="","",MIN(1,I144/Configuracion!$B$11))</x:f>
      </x:c>
      <x:c r="K144" s="48" t="str">
        <x:f>IF(D144="","",MAX(0,(Configuracion!$B$11-I144)/G144))</x:f>
      </x:c>
      <x:c r="L144" s="73" t="str">
        <x:f>IF(D144="","",C144+K144*60)</x:f>
      </x:c>
      <x:c r="M144" t="str">
        <x:f>IF(D144="","",IF(J144&gt;=Configuracion!$B$13,"DESLIZAR",IF(J144&gt;=Configuracion!$B$12,"PREPARARSE","NO DESLIZAR")))</x:f>
      </x:c>
      <x:c r="N144" s="41" t="str">
        <x:f>IF(D144="","",D144-$D$8)</x:f>
      </x:c>
      <x:c r="O144" s="46" t="str">
        <x:f>IF(D144="","",MAX(0,MIN(1,N144/Configuracion!$B$10)))</x:f>
      </x:c>
    </x:row>
    <x:row r="145">
      <x:c r="A145" s="34"/>
      <x:c r="B145" s="36"/>
      <x:c r="C145" s="72"/>
      <x:c r="D145" s="71"/>
      <x:c r="E145" s="41" t="str">
        <x:f>IF(D145="","",D145+273.15)</x:f>
      </x:c>
      <x:c r="F145" s="44" t="str">
        <x:f>IF(OR(C145="",D145="",C144=""),"",(C145-C144)/60)</x:f>
      </x:c>
      <x:c r="G145" s="44" t="str">
        <x:f>IF(D145="","",EXP(-Configuracion!$B$4/Configuracion!$B$5*(1/AVERAGE(E144:E145)-1/(Configuracion!$B$3+273.15))))</x:f>
      </x:c>
      <x:c r="H145" s="44" t="str">
        <x:f>IF(D145="","",F145*G145)</x:f>
      </x:c>
      <x:c r="I145" s="44" t="str">
        <x:f>IF(D145="","",I144+H145)</x:f>
      </x:c>
      <x:c r="J145" s="46" t="str">
        <x:f>IF(D145="","",MIN(1,I145/Configuracion!$B$11))</x:f>
      </x:c>
      <x:c r="K145" s="48" t="str">
        <x:f>IF(D145="","",MAX(0,(Configuracion!$B$11-I145)/G145))</x:f>
      </x:c>
      <x:c r="L145" s="73" t="str">
        <x:f>IF(D145="","",C145+K145*60)</x:f>
      </x:c>
      <x:c r="M145" t="str">
        <x:f>IF(D145="","",IF(J145&gt;=Configuracion!$B$13,"DESLIZAR",IF(J145&gt;=Configuracion!$B$12,"PREPARARSE","NO DESLIZAR")))</x:f>
      </x:c>
      <x:c r="N145" s="41" t="str">
        <x:f>IF(D145="","",D145-$D$8)</x:f>
      </x:c>
      <x:c r="O145" s="46" t="str">
        <x:f>IF(D145="","",MAX(0,MIN(1,N145/Configuracion!$B$10)))</x:f>
      </x:c>
    </x:row>
    <x:row r="146">
      <x:c r="A146" s="34"/>
      <x:c r="B146" s="36"/>
      <x:c r="C146" s="72"/>
      <x:c r="D146" s="71"/>
      <x:c r="E146" s="41" t="str">
        <x:f>IF(D146="","",D146+273.15)</x:f>
      </x:c>
      <x:c r="F146" s="44" t="str">
        <x:f>IF(OR(C146="",D146="",C145=""),"",(C146-C145)/60)</x:f>
      </x:c>
      <x:c r="G146" s="44" t="str">
        <x:f>IF(D146="","",EXP(-Configuracion!$B$4/Configuracion!$B$5*(1/AVERAGE(E145:E146)-1/(Configuracion!$B$3+273.15))))</x:f>
      </x:c>
      <x:c r="H146" s="44" t="str">
        <x:f>IF(D146="","",F146*G146)</x:f>
      </x:c>
      <x:c r="I146" s="44" t="str">
        <x:f>IF(D146="","",I145+H146)</x:f>
      </x:c>
      <x:c r="J146" s="46" t="str">
        <x:f>IF(D146="","",MIN(1,I146/Configuracion!$B$11))</x:f>
      </x:c>
      <x:c r="K146" s="48" t="str">
        <x:f>IF(D146="","",MAX(0,(Configuracion!$B$11-I146)/G146))</x:f>
      </x:c>
      <x:c r="L146" s="73" t="str">
        <x:f>IF(D146="","",C146+K146*60)</x:f>
      </x:c>
      <x:c r="M146" t="str">
        <x:f>IF(D146="","",IF(J146&gt;=Configuracion!$B$13,"DESLIZAR",IF(J146&gt;=Configuracion!$B$12,"PREPARARSE","NO DESLIZAR")))</x:f>
      </x:c>
      <x:c r="N146" s="41" t="str">
        <x:f>IF(D146="","",D146-$D$8)</x:f>
      </x:c>
      <x:c r="O146" s="46" t="str">
        <x:f>IF(D146="","",MAX(0,MIN(1,N146/Configuracion!$B$10)))</x:f>
      </x:c>
    </x:row>
    <x:row r="147">
      <x:c r="A147" s="34"/>
      <x:c r="B147" s="36"/>
      <x:c r="C147" s="72"/>
      <x:c r="D147" s="71"/>
      <x:c r="E147" s="41" t="str">
        <x:f>IF(D147="","",D147+273.15)</x:f>
      </x:c>
      <x:c r="F147" s="44" t="str">
        <x:f>IF(OR(C147="",D147="",C146=""),"",(C147-C146)/60)</x:f>
      </x:c>
      <x:c r="G147" s="44" t="str">
        <x:f>IF(D147="","",EXP(-Configuracion!$B$4/Configuracion!$B$5*(1/AVERAGE(E146:E147)-1/(Configuracion!$B$3+273.15))))</x:f>
      </x:c>
      <x:c r="H147" s="44" t="str">
        <x:f>IF(D147="","",F147*G147)</x:f>
      </x:c>
      <x:c r="I147" s="44" t="str">
        <x:f>IF(D147="","",I146+H147)</x:f>
      </x:c>
      <x:c r="J147" s="46" t="str">
        <x:f>IF(D147="","",MIN(1,I147/Configuracion!$B$11))</x:f>
      </x:c>
      <x:c r="K147" s="48" t="str">
        <x:f>IF(D147="","",MAX(0,(Configuracion!$B$11-I147)/G147))</x:f>
      </x:c>
      <x:c r="L147" s="73" t="str">
        <x:f>IF(D147="","",C147+K147*60)</x:f>
      </x:c>
      <x:c r="M147" t="str">
        <x:f>IF(D147="","",IF(J147&gt;=Configuracion!$B$13,"DESLIZAR",IF(J147&gt;=Configuracion!$B$12,"PREPARARSE","NO DESLIZAR")))</x:f>
      </x:c>
      <x:c r="N147" s="41" t="str">
        <x:f>IF(D147="","",D147-$D$8)</x:f>
      </x:c>
      <x:c r="O147" s="46" t="str">
        <x:f>IF(D147="","",MAX(0,MIN(1,N147/Configuracion!$B$10)))</x:f>
      </x:c>
    </x:row>
    <x:row r="148">
      <x:c r="A148" s="34"/>
      <x:c r="B148" s="36"/>
      <x:c r="C148" s="72"/>
      <x:c r="D148" s="71"/>
      <x:c r="E148" s="41" t="str">
        <x:f>IF(D148="","",D148+273.15)</x:f>
      </x:c>
      <x:c r="F148" s="44" t="str">
        <x:f>IF(OR(C148="",D148="",C147=""),"",(C148-C147)/60)</x:f>
      </x:c>
      <x:c r="G148" s="44" t="str">
        <x:f>IF(D148="","",EXP(-Configuracion!$B$4/Configuracion!$B$5*(1/AVERAGE(E147:E148)-1/(Configuracion!$B$3+273.15))))</x:f>
      </x:c>
      <x:c r="H148" s="44" t="str">
        <x:f>IF(D148="","",F148*G148)</x:f>
      </x:c>
      <x:c r="I148" s="44" t="str">
        <x:f>IF(D148="","",I147+H148)</x:f>
      </x:c>
      <x:c r="J148" s="46" t="str">
        <x:f>IF(D148="","",MIN(1,I148/Configuracion!$B$11))</x:f>
      </x:c>
      <x:c r="K148" s="48" t="str">
        <x:f>IF(D148="","",MAX(0,(Configuracion!$B$11-I148)/G148))</x:f>
      </x:c>
      <x:c r="L148" s="73" t="str">
        <x:f>IF(D148="","",C148+K148*60)</x:f>
      </x:c>
      <x:c r="M148" t="str">
        <x:f>IF(D148="","",IF(J148&gt;=Configuracion!$B$13,"DESLIZAR",IF(J148&gt;=Configuracion!$B$12,"PREPARARSE","NO DESLIZAR")))</x:f>
      </x:c>
      <x:c r="N148" s="41" t="str">
        <x:f>IF(D148="","",D148-$D$8)</x:f>
      </x:c>
      <x:c r="O148" s="46" t="str">
        <x:f>IF(D148="","",MAX(0,MIN(1,N148/Configuracion!$B$10)))</x:f>
      </x:c>
    </x:row>
    <x:row r="149">
      <x:c r="A149" s="34"/>
      <x:c r="B149" s="36"/>
      <x:c r="C149" s="72"/>
      <x:c r="D149" s="71"/>
      <x:c r="E149" s="41" t="str">
        <x:f>IF(D149="","",D149+273.15)</x:f>
      </x:c>
      <x:c r="F149" s="44" t="str">
        <x:f>IF(OR(C149="",D149="",C148=""),"",(C149-C148)/60)</x:f>
      </x:c>
      <x:c r="G149" s="44" t="str">
        <x:f>IF(D149="","",EXP(-Configuracion!$B$4/Configuracion!$B$5*(1/AVERAGE(E148:E149)-1/(Configuracion!$B$3+273.15))))</x:f>
      </x:c>
      <x:c r="H149" s="44" t="str">
        <x:f>IF(D149="","",F149*G149)</x:f>
      </x:c>
      <x:c r="I149" s="44" t="str">
        <x:f>IF(D149="","",I148+H149)</x:f>
      </x:c>
      <x:c r="J149" s="46" t="str">
        <x:f>IF(D149="","",MIN(1,I149/Configuracion!$B$11))</x:f>
      </x:c>
      <x:c r="K149" s="48" t="str">
        <x:f>IF(D149="","",MAX(0,(Configuracion!$B$11-I149)/G149))</x:f>
      </x:c>
      <x:c r="L149" s="73" t="str">
        <x:f>IF(D149="","",C149+K149*60)</x:f>
      </x:c>
      <x:c r="M149" t="str">
        <x:f>IF(D149="","",IF(J149&gt;=Configuracion!$B$13,"DESLIZAR",IF(J149&gt;=Configuracion!$B$12,"PREPARARSE","NO DESLIZAR")))</x:f>
      </x:c>
      <x:c r="N149" s="41" t="str">
        <x:f>IF(D149="","",D149-$D$8)</x:f>
      </x:c>
      <x:c r="O149" s="46" t="str">
        <x:f>IF(D149="","",MAX(0,MIN(1,N149/Configuracion!$B$10)))</x:f>
      </x:c>
    </x:row>
    <x:row r="150">
      <x:c r="A150" s="34"/>
      <x:c r="B150" s="36"/>
      <x:c r="C150" s="72"/>
      <x:c r="D150" s="71"/>
      <x:c r="E150" s="41" t="str">
        <x:f>IF(D150="","",D150+273.15)</x:f>
      </x:c>
      <x:c r="F150" s="44" t="str">
        <x:f>IF(OR(C150="",D150="",C149=""),"",(C150-C149)/60)</x:f>
      </x:c>
      <x:c r="G150" s="44" t="str">
        <x:f>IF(D150="","",EXP(-Configuracion!$B$4/Configuracion!$B$5*(1/AVERAGE(E149:E150)-1/(Configuracion!$B$3+273.15))))</x:f>
      </x:c>
      <x:c r="H150" s="44" t="str">
        <x:f>IF(D150="","",F150*G150)</x:f>
      </x:c>
      <x:c r="I150" s="44" t="str">
        <x:f>IF(D150="","",I149+H150)</x:f>
      </x:c>
      <x:c r="J150" s="46" t="str">
        <x:f>IF(D150="","",MIN(1,I150/Configuracion!$B$11))</x:f>
      </x:c>
      <x:c r="K150" s="48" t="str">
        <x:f>IF(D150="","",MAX(0,(Configuracion!$B$11-I150)/G150))</x:f>
      </x:c>
      <x:c r="L150" s="73" t="str">
        <x:f>IF(D150="","",C150+K150*60)</x:f>
      </x:c>
      <x:c r="M150" t="str">
        <x:f>IF(D150="","",IF(J150&gt;=Configuracion!$B$13,"DESLIZAR",IF(J150&gt;=Configuracion!$B$12,"PREPARARSE","NO DESLIZAR")))</x:f>
      </x:c>
      <x:c r="N150" s="41" t="str">
        <x:f>IF(D150="","",D150-$D$8)</x:f>
      </x:c>
      <x:c r="O150" s="46" t="str">
        <x:f>IF(D150="","",MAX(0,MIN(1,N150/Configuracion!$B$10)))</x:f>
      </x:c>
    </x:row>
    <x:row r="151">
      <x:c r="A151" s="34"/>
      <x:c r="B151" s="36"/>
      <x:c r="C151" s="72"/>
      <x:c r="D151" s="71"/>
      <x:c r="E151" s="41" t="str">
        <x:f>IF(D151="","",D151+273.15)</x:f>
      </x:c>
      <x:c r="F151" s="44" t="str">
        <x:f>IF(OR(C151="",D151="",C150=""),"",(C151-C150)/60)</x:f>
      </x:c>
      <x:c r="G151" s="44" t="str">
        <x:f>IF(D151="","",EXP(-Configuracion!$B$4/Configuracion!$B$5*(1/AVERAGE(E150:E151)-1/(Configuracion!$B$3+273.15))))</x:f>
      </x:c>
      <x:c r="H151" s="44" t="str">
        <x:f>IF(D151="","",F151*G151)</x:f>
      </x:c>
      <x:c r="I151" s="44" t="str">
        <x:f>IF(D151="","",I150+H151)</x:f>
      </x:c>
      <x:c r="J151" s="46" t="str">
        <x:f>IF(D151="","",MIN(1,I151/Configuracion!$B$11))</x:f>
      </x:c>
      <x:c r="K151" s="48" t="str">
        <x:f>IF(D151="","",MAX(0,(Configuracion!$B$11-I151)/G151))</x:f>
      </x:c>
      <x:c r="L151" s="73" t="str">
        <x:f>IF(D151="","",C151+K151*60)</x:f>
      </x:c>
      <x:c r="M151" t="str">
        <x:f>IF(D151="","",IF(J151&gt;=Configuracion!$B$13,"DESLIZAR",IF(J151&gt;=Configuracion!$B$12,"PREPARARSE","NO DESLIZAR")))</x:f>
      </x:c>
      <x:c r="N151" s="41" t="str">
        <x:f>IF(D151="","",D151-$D$8)</x:f>
      </x:c>
      <x:c r="O151" s="46" t="str">
        <x:f>IF(D151="","",MAX(0,MIN(1,N151/Configuracion!$B$10)))</x:f>
      </x:c>
    </x:row>
    <x:row r="152">
      <x:c r="A152" s="34"/>
      <x:c r="B152" s="36"/>
      <x:c r="C152" s="72"/>
      <x:c r="D152" s="71"/>
      <x:c r="E152" s="41" t="str">
        <x:f>IF(D152="","",D152+273.15)</x:f>
      </x:c>
      <x:c r="F152" s="44" t="str">
        <x:f>IF(OR(C152="",D152="",C151=""),"",(C152-C151)/60)</x:f>
      </x:c>
      <x:c r="G152" s="44" t="str">
        <x:f>IF(D152="","",EXP(-Configuracion!$B$4/Configuracion!$B$5*(1/AVERAGE(E151:E152)-1/(Configuracion!$B$3+273.15))))</x:f>
      </x:c>
      <x:c r="H152" s="44" t="str">
        <x:f>IF(D152="","",F152*G152)</x:f>
      </x:c>
      <x:c r="I152" s="44" t="str">
        <x:f>IF(D152="","",I151+H152)</x:f>
      </x:c>
      <x:c r="J152" s="46" t="str">
        <x:f>IF(D152="","",MIN(1,I152/Configuracion!$B$11))</x:f>
      </x:c>
      <x:c r="K152" s="48" t="str">
        <x:f>IF(D152="","",MAX(0,(Configuracion!$B$11-I152)/G152))</x:f>
      </x:c>
      <x:c r="L152" s="73" t="str">
        <x:f>IF(D152="","",C152+K152*60)</x:f>
      </x:c>
      <x:c r="M152" t="str">
        <x:f>IF(D152="","",IF(J152&gt;=Configuracion!$B$13,"DESLIZAR",IF(J152&gt;=Configuracion!$B$12,"PREPARARSE","NO DESLIZAR")))</x:f>
      </x:c>
      <x:c r="N152" s="41" t="str">
        <x:f>IF(D152="","",D152-$D$8)</x:f>
      </x:c>
      <x:c r="O152" s="46" t="str">
        <x:f>IF(D152="","",MAX(0,MIN(1,N152/Configuracion!$B$10)))</x:f>
      </x:c>
    </x:row>
    <x:row r="153">
      <x:c r="A153" s="34"/>
      <x:c r="B153" s="36"/>
      <x:c r="C153" s="72"/>
      <x:c r="D153" s="71"/>
      <x:c r="E153" s="41" t="str">
        <x:f>IF(D153="","",D153+273.15)</x:f>
      </x:c>
      <x:c r="F153" s="44" t="str">
        <x:f>IF(OR(C153="",D153="",C152=""),"",(C153-C152)/60)</x:f>
      </x:c>
      <x:c r="G153" s="44" t="str">
        <x:f>IF(D153="","",EXP(-Configuracion!$B$4/Configuracion!$B$5*(1/AVERAGE(E152:E153)-1/(Configuracion!$B$3+273.15))))</x:f>
      </x:c>
      <x:c r="H153" s="44" t="str">
        <x:f>IF(D153="","",F153*G153)</x:f>
      </x:c>
      <x:c r="I153" s="44" t="str">
        <x:f>IF(D153="","",I152+H153)</x:f>
      </x:c>
      <x:c r="J153" s="46" t="str">
        <x:f>IF(D153="","",MIN(1,I153/Configuracion!$B$11))</x:f>
      </x:c>
      <x:c r="K153" s="48" t="str">
        <x:f>IF(D153="","",MAX(0,(Configuracion!$B$11-I153)/G153))</x:f>
      </x:c>
      <x:c r="L153" s="73" t="str">
        <x:f>IF(D153="","",C153+K153*60)</x:f>
      </x:c>
      <x:c r="M153" t="str">
        <x:f>IF(D153="","",IF(J153&gt;=Configuracion!$B$13,"DESLIZAR",IF(J153&gt;=Configuracion!$B$12,"PREPARARSE","NO DESLIZAR")))</x:f>
      </x:c>
      <x:c r="N153" s="41" t="str">
        <x:f>IF(D153="","",D153-$D$8)</x:f>
      </x:c>
      <x:c r="O153" s="46" t="str">
        <x:f>IF(D153="","",MAX(0,MIN(1,N153/Configuracion!$B$10)))</x:f>
      </x:c>
    </x:row>
    <x:row r="154">
      <x:c r="A154" s="34"/>
      <x:c r="B154" s="36"/>
      <x:c r="C154" s="72"/>
      <x:c r="D154" s="71"/>
      <x:c r="E154" s="41" t="str">
        <x:f>IF(D154="","",D154+273.15)</x:f>
      </x:c>
      <x:c r="F154" s="44" t="str">
        <x:f>IF(OR(C154="",D154="",C153=""),"",(C154-C153)/60)</x:f>
      </x:c>
      <x:c r="G154" s="44" t="str">
        <x:f>IF(D154="","",EXP(-Configuracion!$B$4/Configuracion!$B$5*(1/AVERAGE(E153:E154)-1/(Configuracion!$B$3+273.15))))</x:f>
      </x:c>
      <x:c r="H154" s="44" t="str">
        <x:f>IF(D154="","",F154*G154)</x:f>
      </x:c>
      <x:c r="I154" s="44" t="str">
        <x:f>IF(D154="","",I153+H154)</x:f>
      </x:c>
      <x:c r="J154" s="46" t="str">
        <x:f>IF(D154="","",MIN(1,I154/Configuracion!$B$11))</x:f>
      </x:c>
      <x:c r="K154" s="48" t="str">
        <x:f>IF(D154="","",MAX(0,(Configuracion!$B$11-I154)/G154))</x:f>
      </x:c>
      <x:c r="L154" s="73" t="str">
        <x:f>IF(D154="","",C154+K154*60)</x:f>
      </x:c>
      <x:c r="M154" t="str">
        <x:f>IF(D154="","",IF(J154&gt;=Configuracion!$B$13,"DESLIZAR",IF(J154&gt;=Configuracion!$B$12,"PREPARARSE","NO DESLIZAR")))</x:f>
      </x:c>
      <x:c r="N154" s="41" t="str">
        <x:f>IF(D154="","",D154-$D$8)</x:f>
      </x:c>
      <x:c r="O154" s="46" t="str">
        <x:f>IF(D154="","",MAX(0,MIN(1,N154/Configuracion!$B$10)))</x:f>
      </x:c>
    </x:row>
    <x:row r="155">
      <x:c r="A155" s="34"/>
      <x:c r="B155" s="36"/>
      <x:c r="C155" s="72"/>
      <x:c r="D155" s="71"/>
      <x:c r="E155" s="41" t="str">
        <x:f>IF(D155="","",D155+273.15)</x:f>
      </x:c>
      <x:c r="F155" s="44" t="str">
        <x:f>IF(OR(C155="",D155="",C154=""),"",(C155-C154)/60)</x:f>
      </x:c>
      <x:c r="G155" s="44" t="str">
        <x:f>IF(D155="","",EXP(-Configuracion!$B$4/Configuracion!$B$5*(1/AVERAGE(E154:E155)-1/(Configuracion!$B$3+273.15))))</x:f>
      </x:c>
      <x:c r="H155" s="44" t="str">
        <x:f>IF(D155="","",F155*G155)</x:f>
      </x:c>
      <x:c r="I155" s="44" t="str">
        <x:f>IF(D155="","",I154+H155)</x:f>
      </x:c>
      <x:c r="J155" s="46" t="str">
        <x:f>IF(D155="","",MIN(1,I155/Configuracion!$B$11))</x:f>
      </x:c>
      <x:c r="K155" s="48" t="str">
        <x:f>IF(D155="","",MAX(0,(Configuracion!$B$11-I155)/G155))</x:f>
      </x:c>
      <x:c r="L155" s="73" t="str">
        <x:f>IF(D155="","",C155+K155*60)</x:f>
      </x:c>
      <x:c r="M155" t="str">
        <x:f>IF(D155="","",IF(J155&gt;=Configuracion!$B$13,"DESLIZAR",IF(J155&gt;=Configuracion!$B$12,"PREPARARSE","NO DESLIZAR")))</x:f>
      </x:c>
      <x:c r="N155" s="41" t="str">
        <x:f>IF(D155="","",D155-$D$8)</x:f>
      </x:c>
      <x:c r="O155" s="46" t="str">
        <x:f>IF(D155="","",MAX(0,MIN(1,N155/Configuracion!$B$10)))</x:f>
      </x:c>
    </x:row>
    <x:row r="156">
      <x:c r="A156" s="34"/>
      <x:c r="B156" s="36"/>
      <x:c r="C156" s="72"/>
      <x:c r="D156" s="71"/>
      <x:c r="E156" s="41" t="str">
        <x:f>IF(D156="","",D156+273.15)</x:f>
      </x:c>
      <x:c r="F156" s="44" t="str">
        <x:f>IF(OR(C156="",D156="",C155=""),"",(C156-C155)/60)</x:f>
      </x:c>
      <x:c r="G156" s="44" t="str">
        <x:f>IF(D156="","",EXP(-Configuracion!$B$4/Configuracion!$B$5*(1/AVERAGE(E155:E156)-1/(Configuracion!$B$3+273.15))))</x:f>
      </x:c>
      <x:c r="H156" s="44" t="str">
        <x:f>IF(D156="","",F156*G156)</x:f>
      </x:c>
      <x:c r="I156" s="44" t="str">
        <x:f>IF(D156="","",I155+H156)</x:f>
      </x:c>
      <x:c r="J156" s="46" t="str">
        <x:f>IF(D156="","",MIN(1,I156/Configuracion!$B$11))</x:f>
      </x:c>
      <x:c r="K156" s="48" t="str">
        <x:f>IF(D156="","",MAX(0,(Configuracion!$B$11-I156)/G156))</x:f>
      </x:c>
      <x:c r="L156" s="73" t="str">
        <x:f>IF(D156="","",C156+K156*60)</x:f>
      </x:c>
      <x:c r="M156" t="str">
        <x:f>IF(D156="","",IF(J156&gt;=Configuracion!$B$13,"DESLIZAR",IF(J156&gt;=Configuracion!$B$12,"PREPARARSE","NO DESLIZAR")))</x:f>
      </x:c>
      <x:c r="N156" s="41" t="str">
        <x:f>IF(D156="","",D156-$D$8)</x:f>
      </x:c>
      <x:c r="O156" s="46" t="str">
        <x:f>IF(D156="","",MAX(0,MIN(1,N156/Configuracion!$B$10)))</x:f>
      </x:c>
    </x:row>
    <x:row r="157">
      <x:c r="A157" s="34"/>
      <x:c r="B157" s="36"/>
      <x:c r="C157" s="72"/>
      <x:c r="D157" s="71"/>
      <x:c r="E157" s="41" t="str">
        <x:f>IF(D157="","",D157+273.15)</x:f>
      </x:c>
      <x:c r="F157" s="44" t="str">
        <x:f>IF(OR(C157="",D157="",C156=""),"",(C157-C156)/60)</x:f>
      </x:c>
      <x:c r="G157" s="44" t="str">
        <x:f>IF(D157="","",EXP(-Configuracion!$B$4/Configuracion!$B$5*(1/AVERAGE(E156:E157)-1/(Configuracion!$B$3+273.15))))</x:f>
      </x:c>
      <x:c r="H157" s="44" t="str">
        <x:f>IF(D157="","",F157*G157)</x:f>
      </x:c>
      <x:c r="I157" s="44" t="str">
        <x:f>IF(D157="","",I156+H157)</x:f>
      </x:c>
      <x:c r="J157" s="46" t="str">
        <x:f>IF(D157="","",MIN(1,I157/Configuracion!$B$11))</x:f>
      </x:c>
      <x:c r="K157" s="48" t="str">
        <x:f>IF(D157="","",MAX(0,(Configuracion!$B$11-I157)/G157))</x:f>
      </x:c>
      <x:c r="L157" s="73" t="str">
        <x:f>IF(D157="","",C157+K157*60)</x:f>
      </x:c>
      <x:c r="M157" t="str">
        <x:f>IF(D157="","",IF(J157&gt;=Configuracion!$B$13,"DESLIZAR",IF(J157&gt;=Configuracion!$B$12,"PREPARARSE","NO DESLIZAR")))</x:f>
      </x:c>
      <x:c r="N157" s="41" t="str">
        <x:f>IF(D157="","",D157-$D$8)</x:f>
      </x:c>
      <x:c r="O157" s="46" t="str">
        <x:f>IF(D157="","",MAX(0,MIN(1,N157/Configuracion!$B$10)))</x:f>
      </x:c>
    </x:row>
    <x:row r="158">
      <x:c r="A158" s="34"/>
      <x:c r="B158" s="36"/>
      <x:c r="C158" s="72"/>
      <x:c r="D158" s="71"/>
      <x:c r="E158" s="41" t="str">
        <x:f>IF(D158="","",D158+273.15)</x:f>
      </x:c>
      <x:c r="F158" s="44" t="str">
        <x:f>IF(OR(C158="",D158="",C157=""),"",(C158-C157)/60)</x:f>
      </x:c>
      <x:c r="G158" s="44" t="str">
        <x:f>IF(D158="","",EXP(-Configuracion!$B$4/Configuracion!$B$5*(1/AVERAGE(E157:E158)-1/(Configuracion!$B$3+273.15))))</x:f>
      </x:c>
      <x:c r="H158" s="44" t="str">
        <x:f>IF(D158="","",F158*G158)</x:f>
      </x:c>
      <x:c r="I158" s="44" t="str">
        <x:f>IF(D158="","",I157+H158)</x:f>
      </x:c>
      <x:c r="J158" s="46" t="str">
        <x:f>IF(D158="","",MIN(1,I158/Configuracion!$B$11))</x:f>
      </x:c>
      <x:c r="K158" s="48" t="str">
        <x:f>IF(D158="","",MAX(0,(Configuracion!$B$11-I158)/G158))</x:f>
      </x:c>
      <x:c r="L158" s="73" t="str">
        <x:f>IF(D158="","",C158+K158*60)</x:f>
      </x:c>
      <x:c r="M158" t="str">
        <x:f>IF(D158="","",IF(J158&gt;=Configuracion!$B$13,"DESLIZAR",IF(J158&gt;=Configuracion!$B$12,"PREPARARSE","NO DESLIZAR")))</x:f>
      </x:c>
      <x:c r="N158" s="41" t="str">
        <x:f>IF(D158="","",D158-$D$8)</x:f>
      </x:c>
      <x:c r="O158" s="46" t="str">
        <x:f>IF(D158="","",MAX(0,MIN(1,N158/Configuracion!$B$10)))</x:f>
      </x:c>
    </x:row>
    <x:row r="159">
      <x:c r="A159" s="34"/>
      <x:c r="B159" s="36"/>
      <x:c r="C159" s="72"/>
      <x:c r="D159" s="71"/>
      <x:c r="E159" s="41" t="str">
        <x:f>IF(D159="","",D159+273.15)</x:f>
      </x:c>
      <x:c r="F159" s="44" t="str">
        <x:f>IF(OR(C159="",D159="",C158=""),"",(C159-C158)/60)</x:f>
      </x:c>
      <x:c r="G159" s="44" t="str">
        <x:f>IF(D159="","",EXP(-Configuracion!$B$4/Configuracion!$B$5*(1/AVERAGE(E158:E159)-1/(Configuracion!$B$3+273.15))))</x:f>
      </x:c>
      <x:c r="H159" s="44" t="str">
        <x:f>IF(D159="","",F159*G159)</x:f>
      </x:c>
      <x:c r="I159" s="44" t="str">
        <x:f>IF(D159="","",I158+H159)</x:f>
      </x:c>
      <x:c r="J159" s="46" t="str">
        <x:f>IF(D159="","",MIN(1,I159/Configuracion!$B$11))</x:f>
      </x:c>
      <x:c r="K159" s="48" t="str">
        <x:f>IF(D159="","",MAX(0,(Configuracion!$B$11-I159)/G159))</x:f>
      </x:c>
      <x:c r="L159" s="73" t="str">
        <x:f>IF(D159="","",C159+K159*60)</x:f>
      </x:c>
      <x:c r="M159" t="str">
        <x:f>IF(D159="","",IF(J159&gt;=Configuracion!$B$13,"DESLIZAR",IF(J159&gt;=Configuracion!$B$12,"PREPARARSE","NO DESLIZAR")))</x:f>
      </x:c>
      <x:c r="N159" s="41" t="str">
        <x:f>IF(D159="","",D159-$D$8)</x:f>
      </x:c>
      <x:c r="O159" s="46" t="str">
        <x:f>IF(D159="","",MAX(0,MIN(1,N159/Configuracion!$B$10)))</x:f>
      </x:c>
    </x:row>
    <x:row r="160">
      <x:c r="A160" s="34"/>
      <x:c r="B160" s="36"/>
      <x:c r="C160" s="72"/>
      <x:c r="D160" s="71"/>
      <x:c r="E160" s="41" t="str">
        <x:f>IF(D160="","",D160+273.15)</x:f>
      </x:c>
      <x:c r="F160" s="44" t="str">
        <x:f>IF(OR(C160="",D160="",C159=""),"",(C160-C159)/60)</x:f>
      </x:c>
      <x:c r="G160" s="44" t="str">
        <x:f>IF(D160="","",EXP(-Configuracion!$B$4/Configuracion!$B$5*(1/AVERAGE(E159:E160)-1/(Configuracion!$B$3+273.15))))</x:f>
      </x:c>
      <x:c r="H160" s="44" t="str">
        <x:f>IF(D160="","",F160*G160)</x:f>
      </x:c>
      <x:c r="I160" s="44" t="str">
        <x:f>IF(D160="","",I159+H160)</x:f>
      </x:c>
      <x:c r="J160" s="46" t="str">
        <x:f>IF(D160="","",MIN(1,I160/Configuracion!$B$11))</x:f>
      </x:c>
      <x:c r="K160" s="48" t="str">
        <x:f>IF(D160="","",MAX(0,(Configuracion!$B$11-I160)/G160))</x:f>
      </x:c>
      <x:c r="L160" s="73" t="str">
        <x:f>IF(D160="","",C160+K160*60)</x:f>
      </x:c>
      <x:c r="M160" t="str">
        <x:f>IF(D160="","",IF(J160&gt;=Configuracion!$B$13,"DESLIZAR",IF(J160&gt;=Configuracion!$B$12,"PREPARARSE","NO DESLIZAR")))</x:f>
      </x:c>
      <x:c r="N160" s="41" t="str">
        <x:f>IF(D160="","",D160-$D$8)</x:f>
      </x:c>
      <x:c r="O160" s="46" t="str">
        <x:f>IF(D160="","",MAX(0,MIN(1,N160/Configuracion!$B$10)))</x:f>
      </x:c>
    </x:row>
    <x:row r="161">
      <x:c r="A161" s="34"/>
      <x:c r="B161" s="36"/>
      <x:c r="C161" s="72"/>
      <x:c r="D161" s="71"/>
      <x:c r="E161" s="41" t="str">
        <x:f>IF(D161="","",D161+273.15)</x:f>
      </x:c>
      <x:c r="F161" s="44" t="str">
        <x:f>IF(OR(C161="",D161="",C160=""),"",(C161-C160)/60)</x:f>
      </x:c>
      <x:c r="G161" s="44" t="str">
        <x:f>IF(D161="","",EXP(-Configuracion!$B$4/Configuracion!$B$5*(1/AVERAGE(E160:E161)-1/(Configuracion!$B$3+273.15))))</x:f>
      </x:c>
      <x:c r="H161" s="44" t="str">
        <x:f>IF(D161="","",F161*G161)</x:f>
      </x:c>
      <x:c r="I161" s="44" t="str">
        <x:f>IF(D161="","",I160+H161)</x:f>
      </x:c>
      <x:c r="J161" s="46" t="str">
        <x:f>IF(D161="","",MIN(1,I161/Configuracion!$B$11))</x:f>
      </x:c>
      <x:c r="K161" s="48" t="str">
        <x:f>IF(D161="","",MAX(0,(Configuracion!$B$11-I161)/G161))</x:f>
      </x:c>
      <x:c r="L161" s="73" t="str">
        <x:f>IF(D161="","",C161+K161*60)</x:f>
      </x:c>
      <x:c r="M161" t="str">
        <x:f>IF(D161="","",IF(J161&gt;=Configuracion!$B$13,"DESLIZAR",IF(J161&gt;=Configuracion!$B$12,"PREPARARSE","NO DESLIZAR")))</x:f>
      </x:c>
      <x:c r="N161" s="41" t="str">
        <x:f>IF(D161="","",D161-$D$8)</x:f>
      </x:c>
      <x:c r="O161" s="46" t="str">
        <x:f>IF(D161="","",MAX(0,MIN(1,N161/Configuracion!$B$10)))</x:f>
      </x:c>
    </x:row>
    <x:row r="162">
      <x:c r="A162" s="34"/>
      <x:c r="B162" s="36"/>
      <x:c r="C162" s="72"/>
      <x:c r="D162" s="71"/>
      <x:c r="E162" s="41" t="str">
        <x:f>IF(D162="","",D162+273.15)</x:f>
      </x:c>
      <x:c r="F162" s="44" t="str">
        <x:f>IF(OR(C162="",D162="",C161=""),"",(C162-C161)/60)</x:f>
      </x:c>
      <x:c r="G162" s="44" t="str">
        <x:f>IF(D162="","",EXP(-Configuracion!$B$4/Configuracion!$B$5*(1/AVERAGE(E161:E162)-1/(Configuracion!$B$3+273.15))))</x:f>
      </x:c>
      <x:c r="H162" s="44" t="str">
        <x:f>IF(D162="","",F162*G162)</x:f>
      </x:c>
      <x:c r="I162" s="44" t="str">
        <x:f>IF(D162="","",I161+H162)</x:f>
      </x:c>
      <x:c r="J162" s="46" t="str">
        <x:f>IF(D162="","",MIN(1,I162/Configuracion!$B$11))</x:f>
      </x:c>
      <x:c r="K162" s="48" t="str">
        <x:f>IF(D162="","",MAX(0,(Configuracion!$B$11-I162)/G162))</x:f>
      </x:c>
      <x:c r="L162" s="73" t="str">
        <x:f>IF(D162="","",C162+K162*60)</x:f>
      </x:c>
      <x:c r="M162" t="str">
        <x:f>IF(D162="","",IF(J162&gt;=Configuracion!$B$13,"DESLIZAR",IF(J162&gt;=Configuracion!$B$12,"PREPARARSE","NO DESLIZAR")))</x:f>
      </x:c>
      <x:c r="N162" s="41" t="str">
        <x:f>IF(D162="","",D162-$D$8)</x:f>
      </x:c>
      <x:c r="O162" s="46" t="str">
        <x:f>IF(D162="","",MAX(0,MIN(1,N162/Configuracion!$B$10)))</x:f>
      </x:c>
    </x:row>
    <x:row r="163">
      <x:c r="A163" s="34"/>
      <x:c r="B163" s="36"/>
      <x:c r="C163" s="72"/>
      <x:c r="D163" s="71"/>
      <x:c r="E163" s="41" t="str">
        <x:f>IF(D163="","",D163+273.15)</x:f>
      </x:c>
      <x:c r="F163" s="44" t="str">
        <x:f>IF(OR(C163="",D163="",C162=""),"",(C163-C162)/60)</x:f>
      </x:c>
      <x:c r="G163" s="44" t="str">
        <x:f>IF(D163="","",EXP(-Configuracion!$B$4/Configuracion!$B$5*(1/AVERAGE(E162:E163)-1/(Configuracion!$B$3+273.15))))</x:f>
      </x:c>
      <x:c r="H163" s="44" t="str">
        <x:f>IF(D163="","",F163*G163)</x:f>
      </x:c>
      <x:c r="I163" s="44" t="str">
        <x:f>IF(D163="","",I162+H163)</x:f>
      </x:c>
      <x:c r="J163" s="46" t="str">
        <x:f>IF(D163="","",MIN(1,I163/Configuracion!$B$11))</x:f>
      </x:c>
      <x:c r="K163" s="48" t="str">
        <x:f>IF(D163="","",MAX(0,(Configuracion!$B$11-I163)/G163))</x:f>
      </x:c>
      <x:c r="L163" s="73" t="str">
        <x:f>IF(D163="","",C163+K163*60)</x:f>
      </x:c>
      <x:c r="M163" t="str">
        <x:f>IF(D163="","",IF(J163&gt;=Configuracion!$B$13,"DESLIZAR",IF(J163&gt;=Configuracion!$B$12,"PREPARARSE","NO DESLIZAR")))</x:f>
      </x:c>
      <x:c r="N163" s="41" t="str">
        <x:f>IF(D163="","",D163-$D$8)</x:f>
      </x:c>
      <x:c r="O163" s="46" t="str">
        <x:f>IF(D163="","",MAX(0,MIN(1,N163/Configuracion!$B$10)))</x:f>
      </x:c>
    </x:row>
    <x:row r="164">
      <x:c r="A164" s="34"/>
      <x:c r="B164" s="36"/>
      <x:c r="C164" s="72"/>
      <x:c r="D164" s="71"/>
      <x:c r="E164" s="41" t="str">
        <x:f>IF(D164="","",D164+273.15)</x:f>
      </x:c>
      <x:c r="F164" s="44" t="str">
        <x:f>IF(OR(C164="",D164="",C163=""),"",(C164-C163)/60)</x:f>
      </x:c>
      <x:c r="G164" s="44" t="str">
        <x:f>IF(D164="","",EXP(-Configuracion!$B$4/Configuracion!$B$5*(1/AVERAGE(E163:E164)-1/(Configuracion!$B$3+273.15))))</x:f>
      </x:c>
      <x:c r="H164" s="44" t="str">
        <x:f>IF(D164="","",F164*G164)</x:f>
      </x:c>
      <x:c r="I164" s="44" t="str">
        <x:f>IF(D164="","",I163+H164)</x:f>
      </x:c>
      <x:c r="J164" s="46" t="str">
        <x:f>IF(D164="","",MIN(1,I164/Configuracion!$B$11))</x:f>
      </x:c>
      <x:c r="K164" s="48" t="str">
        <x:f>IF(D164="","",MAX(0,(Configuracion!$B$11-I164)/G164))</x:f>
      </x:c>
      <x:c r="L164" s="73" t="str">
        <x:f>IF(D164="","",C164+K164*60)</x:f>
      </x:c>
      <x:c r="M164" t="str">
        <x:f>IF(D164="","",IF(J164&gt;=Configuracion!$B$13,"DESLIZAR",IF(J164&gt;=Configuracion!$B$12,"PREPARARSE","NO DESLIZAR")))</x:f>
      </x:c>
      <x:c r="N164" s="41" t="str">
        <x:f>IF(D164="","",D164-$D$8)</x:f>
      </x:c>
      <x:c r="O164" s="46" t="str">
        <x:f>IF(D164="","",MAX(0,MIN(1,N164/Configuracion!$B$10)))</x:f>
      </x:c>
    </x:row>
    <x:row r="165">
      <x:c r="A165" s="34"/>
      <x:c r="B165" s="36"/>
      <x:c r="C165" s="72"/>
      <x:c r="D165" s="71"/>
      <x:c r="E165" s="41" t="str">
        <x:f>IF(D165="","",D165+273.15)</x:f>
      </x:c>
      <x:c r="F165" s="44" t="str">
        <x:f>IF(OR(C165="",D165="",C164=""),"",(C165-C164)/60)</x:f>
      </x:c>
      <x:c r="G165" s="44" t="str">
        <x:f>IF(D165="","",EXP(-Configuracion!$B$4/Configuracion!$B$5*(1/AVERAGE(E164:E165)-1/(Configuracion!$B$3+273.15))))</x:f>
      </x:c>
      <x:c r="H165" s="44" t="str">
        <x:f>IF(D165="","",F165*G165)</x:f>
      </x:c>
      <x:c r="I165" s="44" t="str">
        <x:f>IF(D165="","",I164+H165)</x:f>
      </x:c>
      <x:c r="J165" s="46" t="str">
        <x:f>IF(D165="","",MIN(1,I165/Configuracion!$B$11))</x:f>
      </x:c>
      <x:c r="K165" s="48" t="str">
        <x:f>IF(D165="","",MAX(0,(Configuracion!$B$11-I165)/G165))</x:f>
      </x:c>
      <x:c r="L165" s="73" t="str">
        <x:f>IF(D165="","",C165+K165*60)</x:f>
      </x:c>
      <x:c r="M165" t="str">
        <x:f>IF(D165="","",IF(J165&gt;=Configuracion!$B$13,"DESLIZAR",IF(J165&gt;=Configuracion!$B$12,"PREPARARSE","NO DESLIZAR")))</x:f>
      </x:c>
      <x:c r="N165" s="41" t="str">
        <x:f>IF(D165="","",D165-$D$8)</x:f>
      </x:c>
      <x:c r="O165" s="46" t="str">
        <x:f>IF(D165="","",MAX(0,MIN(1,N165/Configuracion!$B$10)))</x:f>
      </x:c>
    </x:row>
    <x:row r="166">
      <x:c r="A166" s="34"/>
      <x:c r="B166" s="36"/>
      <x:c r="C166" s="72"/>
      <x:c r="D166" s="71"/>
      <x:c r="E166" s="41" t="str">
        <x:f>IF(D166="","",D166+273.15)</x:f>
      </x:c>
      <x:c r="F166" s="44" t="str">
        <x:f>IF(OR(C166="",D166="",C165=""),"",(C166-C165)/60)</x:f>
      </x:c>
      <x:c r="G166" s="44" t="str">
        <x:f>IF(D166="","",EXP(-Configuracion!$B$4/Configuracion!$B$5*(1/AVERAGE(E165:E166)-1/(Configuracion!$B$3+273.15))))</x:f>
      </x:c>
      <x:c r="H166" s="44" t="str">
        <x:f>IF(D166="","",F166*G166)</x:f>
      </x:c>
      <x:c r="I166" s="44" t="str">
        <x:f>IF(D166="","",I165+H166)</x:f>
      </x:c>
      <x:c r="J166" s="46" t="str">
        <x:f>IF(D166="","",MIN(1,I166/Configuracion!$B$11))</x:f>
      </x:c>
      <x:c r="K166" s="48" t="str">
        <x:f>IF(D166="","",MAX(0,(Configuracion!$B$11-I166)/G166))</x:f>
      </x:c>
      <x:c r="L166" s="73" t="str">
        <x:f>IF(D166="","",C166+K166*60)</x:f>
      </x:c>
      <x:c r="M166" t="str">
        <x:f>IF(D166="","",IF(J166&gt;=Configuracion!$B$13,"DESLIZAR",IF(J166&gt;=Configuracion!$B$12,"PREPARARSE","NO DESLIZAR")))</x:f>
      </x:c>
      <x:c r="N166" s="41" t="str">
        <x:f>IF(D166="","",D166-$D$8)</x:f>
      </x:c>
      <x:c r="O166" s="46" t="str">
        <x:f>IF(D166="","",MAX(0,MIN(1,N166/Configuracion!$B$10)))</x:f>
      </x:c>
    </x:row>
    <x:row r="167">
      <x:c r="A167" s="34"/>
      <x:c r="B167" s="36"/>
      <x:c r="C167" s="72"/>
      <x:c r="D167" s="71"/>
      <x:c r="E167" s="41" t="str">
        <x:f>IF(D167="","",D167+273.15)</x:f>
      </x:c>
      <x:c r="F167" s="44" t="str">
        <x:f>IF(OR(C167="",D167="",C166=""),"",(C167-C166)/60)</x:f>
      </x:c>
      <x:c r="G167" s="44" t="str">
        <x:f>IF(D167="","",EXP(-Configuracion!$B$4/Configuracion!$B$5*(1/AVERAGE(E166:E167)-1/(Configuracion!$B$3+273.15))))</x:f>
      </x:c>
      <x:c r="H167" s="44" t="str">
        <x:f>IF(D167="","",F167*G167)</x:f>
      </x:c>
      <x:c r="I167" s="44" t="str">
        <x:f>IF(D167="","",I166+H167)</x:f>
      </x:c>
      <x:c r="J167" s="46" t="str">
        <x:f>IF(D167="","",MIN(1,I167/Configuracion!$B$11))</x:f>
      </x:c>
      <x:c r="K167" s="48" t="str">
        <x:f>IF(D167="","",MAX(0,(Configuracion!$B$11-I167)/G167))</x:f>
      </x:c>
      <x:c r="L167" s="73" t="str">
        <x:f>IF(D167="","",C167+K167*60)</x:f>
      </x:c>
      <x:c r="M167" t="str">
        <x:f>IF(D167="","",IF(J167&gt;=Configuracion!$B$13,"DESLIZAR",IF(J167&gt;=Configuracion!$B$12,"PREPARARSE","NO DESLIZAR")))</x:f>
      </x:c>
      <x:c r="N167" s="41" t="str">
        <x:f>IF(D167="","",D167-$D$8)</x:f>
      </x:c>
      <x:c r="O167" s="46" t="str">
        <x:f>IF(D167="","",MAX(0,MIN(1,N167/Configuracion!$B$10)))</x:f>
      </x:c>
    </x:row>
    <x:row r="168">
      <x:c r="A168" s="34"/>
      <x:c r="B168" s="36"/>
      <x:c r="C168" s="72"/>
      <x:c r="D168" s="71"/>
      <x:c r="E168" s="41" t="str">
        <x:f>IF(D168="","",D168+273.15)</x:f>
      </x:c>
      <x:c r="F168" s="44" t="str">
        <x:f>IF(OR(C168="",D168="",C167=""),"",(C168-C167)/60)</x:f>
      </x:c>
      <x:c r="G168" s="44" t="str">
        <x:f>IF(D168="","",EXP(-Configuracion!$B$4/Configuracion!$B$5*(1/AVERAGE(E167:E168)-1/(Configuracion!$B$3+273.15))))</x:f>
      </x:c>
      <x:c r="H168" s="44" t="str">
        <x:f>IF(D168="","",F168*G168)</x:f>
      </x:c>
      <x:c r="I168" s="44" t="str">
        <x:f>IF(D168="","",I167+H168)</x:f>
      </x:c>
      <x:c r="J168" s="46" t="str">
        <x:f>IF(D168="","",MIN(1,I168/Configuracion!$B$11))</x:f>
      </x:c>
      <x:c r="K168" s="48" t="str">
        <x:f>IF(D168="","",MAX(0,(Configuracion!$B$11-I168)/G168))</x:f>
      </x:c>
      <x:c r="L168" s="73" t="str">
        <x:f>IF(D168="","",C168+K168*60)</x:f>
      </x:c>
      <x:c r="M168" t="str">
        <x:f>IF(D168="","",IF(J168&gt;=Configuracion!$B$13,"DESLIZAR",IF(J168&gt;=Configuracion!$B$12,"PREPARARSE","NO DESLIZAR")))</x:f>
      </x:c>
      <x:c r="N168" s="41" t="str">
        <x:f>IF(D168="","",D168-$D$8)</x:f>
      </x:c>
      <x:c r="O168" s="46" t="str">
        <x:f>IF(D168="","",MAX(0,MIN(1,N168/Configuracion!$B$10)))</x:f>
      </x:c>
    </x:row>
    <x:row r="169">
      <x:c r="A169" s="34"/>
      <x:c r="B169" s="36"/>
      <x:c r="C169" s="72"/>
      <x:c r="D169" s="71"/>
      <x:c r="E169" s="41" t="str">
        <x:f>IF(D169="","",D169+273.15)</x:f>
      </x:c>
      <x:c r="F169" s="44" t="str">
        <x:f>IF(OR(C169="",D169="",C168=""),"",(C169-C168)/60)</x:f>
      </x:c>
      <x:c r="G169" s="44" t="str">
        <x:f>IF(D169="","",EXP(-Configuracion!$B$4/Configuracion!$B$5*(1/AVERAGE(E168:E169)-1/(Configuracion!$B$3+273.15))))</x:f>
      </x:c>
      <x:c r="H169" s="44" t="str">
        <x:f>IF(D169="","",F169*G169)</x:f>
      </x:c>
      <x:c r="I169" s="44" t="str">
        <x:f>IF(D169="","",I168+H169)</x:f>
      </x:c>
      <x:c r="J169" s="46" t="str">
        <x:f>IF(D169="","",MIN(1,I169/Configuracion!$B$11))</x:f>
      </x:c>
      <x:c r="K169" s="48" t="str">
        <x:f>IF(D169="","",MAX(0,(Configuracion!$B$11-I169)/G169))</x:f>
      </x:c>
      <x:c r="L169" s="73" t="str">
        <x:f>IF(D169="","",C169+K169*60)</x:f>
      </x:c>
      <x:c r="M169" t="str">
        <x:f>IF(D169="","",IF(J169&gt;=Configuracion!$B$13,"DESLIZAR",IF(J169&gt;=Configuracion!$B$12,"PREPARARSE","NO DESLIZAR")))</x:f>
      </x:c>
      <x:c r="N169" s="41" t="str">
        <x:f>IF(D169="","",D169-$D$8)</x:f>
      </x:c>
      <x:c r="O169" s="46" t="str">
        <x:f>IF(D169="","",MAX(0,MIN(1,N169/Configuracion!$B$10)))</x:f>
      </x:c>
    </x:row>
    <x:row r="170">
      <x:c r="A170" s="34"/>
      <x:c r="B170" s="36"/>
      <x:c r="C170" s="72"/>
      <x:c r="D170" s="71"/>
      <x:c r="E170" s="41" t="str">
        <x:f>IF(D170="","",D170+273.15)</x:f>
      </x:c>
      <x:c r="F170" s="44" t="str">
        <x:f>IF(OR(C170="",D170="",C169=""),"",(C170-C169)/60)</x:f>
      </x:c>
      <x:c r="G170" s="44" t="str">
        <x:f>IF(D170="","",EXP(-Configuracion!$B$4/Configuracion!$B$5*(1/AVERAGE(E169:E170)-1/(Configuracion!$B$3+273.15))))</x:f>
      </x:c>
      <x:c r="H170" s="44" t="str">
        <x:f>IF(D170="","",F170*G170)</x:f>
      </x:c>
      <x:c r="I170" s="44" t="str">
        <x:f>IF(D170="","",I169+H170)</x:f>
      </x:c>
      <x:c r="J170" s="46" t="str">
        <x:f>IF(D170="","",MIN(1,I170/Configuracion!$B$11))</x:f>
      </x:c>
      <x:c r="K170" s="48" t="str">
        <x:f>IF(D170="","",MAX(0,(Configuracion!$B$11-I170)/G170))</x:f>
      </x:c>
      <x:c r="L170" s="73" t="str">
        <x:f>IF(D170="","",C170+K170*60)</x:f>
      </x:c>
      <x:c r="M170" t="str">
        <x:f>IF(D170="","",IF(J170&gt;=Configuracion!$B$13,"DESLIZAR",IF(J170&gt;=Configuracion!$B$12,"PREPARARSE","NO DESLIZAR")))</x:f>
      </x:c>
      <x:c r="N170" s="41" t="str">
        <x:f>IF(D170="","",D170-$D$8)</x:f>
      </x:c>
      <x:c r="O170" s="46" t="str">
        <x:f>IF(D170="","",MAX(0,MIN(1,N170/Configuracion!$B$10)))</x:f>
      </x:c>
    </x:row>
    <x:row r="171">
      <x:c r="A171" s="34"/>
      <x:c r="B171" s="36"/>
      <x:c r="C171" s="72"/>
      <x:c r="D171" s="71"/>
      <x:c r="E171" s="41" t="str">
        <x:f>IF(D171="","",D171+273.15)</x:f>
      </x:c>
      <x:c r="F171" s="44" t="str">
        <x:f>IF(OR(C171="",D171="",C170=""),"",(C171-C170)/60)</x:f>
      </x:c>
      <x:c r="G171" s="44" t="str">
        <x:f>IF(D171="","",EXP(-Configuracion!$B$4/Configuracion!$B$5*(1/AVERAGE(E170:E171)-1/(Configuracion!$B$3+273.15))))</x:f>
      </x:c>
      <x:c r="H171" s="44" t="str">
        <x:f>IF(D171="","",F171*G171)</x:f>
      </x:c>
      <x:c r="I171" s="44" t="str">
        <x:f>IF(D171="","",I170+H171)</x:f>
      </x:c>
      <x:c r="J171" s="46" t="str">
        <x:f>IF(D171="","",MIN(1,I171/Configuracion!$B$11))</x:f>
      </x:c>
      <x:c r="K171" s="48" t="str">
        <x:f>IF(D171="","",MAX(0,(Configuracion!$B$11-I171)/G171))</x:f>
      </x:c>
      <x:c r="L171" s="73" t="str">
        <x:f>IF(D171="","",C171+K171*60)</x:f>
      </x:c>
      <x:c r="M171" t="str">
        <x:f>IF(D171="","",IF(J171&gt;=Configuracion!$B$13,"DESLIZAR",IF(J171&gt;=Configuracion!$B$12,"PREPARARSE","NO DESLIZAR")))</x:f>
      </x:c>
      <x:c r="N171" s="41" t="str">
        <x:f>IF(D171="","",D171-$D$8)</x:f>
      </x:c>
      <x:c r="O171" s="46" t="str">
        <x:f>IF(D171="","",MAX(0,MIN(1,N171/Configuracion!$B$10)))</x:f>
      </x:c>
    </x:row>
    <x:row r="172">
      <x:c r="A172" s="34"/>
      <x:c r="B172" s="36"/>
      <x:c r="C172" s="72"/>
      <x:c r="D172" s="71"/>
      <x:c r="E172" s="41" t="str">
        <x:f>IF(D172="","",D172+273.15)</x:f>
      </x:c>
      <x:c r="F172" s="44" t="str">
        <x:f>IF(OR(C172="",D172="",C171=""),"",(C172-C171)/60)</x:f>
      </x:c>
      <x:c r="G172" s="44" t="str">
        <x:f>IF(D172="","",EXP(-Configuracion!$B$4/Configuracion!$B$5*(1/AVERAGE(E171:E172)-1/(Configuracion!$B$3+273.15))))</x:f>
      </x:c>
      <x:c r="H172" s="44" t="str">
        <x:f>IF(D172="","",F172*G172)</x:f>
      </x:c>
      <x:c r="I172" s="44" t="str">
        <x:f>IF(D172="","",I171+H172)</x:f>
      </x:c>
      <x:c r="J172" s="46" t="str">
        <x:f>IF(D172="","",MIN(1,I172/Configuracion!$B$11))</x:f>
      </x:c>
      <x:c r="K172" s="48" t="str">
        <x:f>IF(D172="","",MAX(0,(Configuracion!$B$11-I172)/G172))</x:f>
      </x:c>
      <x:c r="L172" s="73" t="str">
        <x:f>IF(D172="","",C172+K172*60)</x:f>
      </x:c>
      <x:c r="M172" t="str">
        <x:f>IF(D172="","",IF(J172&gt;=Configuracion!$B$13,"DESLIZAR",IF(J172&gt;=Configuracion!$B$12,"PREPARARSE","NO DESLIZAR")))</x:f>
      </x:c>
      <x:c r="N172" s="41" t="str">
        <x:f>IF(D172="","",D172-$D$8)</x:f>
      </x:c>
      <x:c r="O172" s="46" t="str">
        <x:f>IF(D172="","",MAX(0,MIN(1,N172/Configuracion!$B$10)))</x:f>
      </x:c>
    </x:row>
    <x:row r="173">
      <x:c r="A173" s="34"/>
      <x:c r="B173" s="36"/>
      <x:c r="C173" s="72"/>
      <x:c r="D173" s="71"/>
      <x:c r="E173" s="41" t="str">
        <x:f>IF(D173="","",D173+273.15)</x:f>
      </x:c>
      <x:c r="F173" s="44" t="str">
        <x:f>IF(OR(C173="",D173="",C172=""),"",(C173-C172)/60)</x:f>
      </x:c>
      <x:c r="G173" s="44" t="str">
        <x:f>IF(D173="","",EXP(-Configuracion!$B$4/Configuracion!$B$5*(1/AVERAGE(E172:E173)-1/(Configuracion!$B$3+273.15))))</x:f>
      </x:c>
      <x:c r="H173" s="44" t="str">
        <x:f>IF(D173="","",F173*G173)</x:f>
      </x:c>
      <x:c r="I173" s="44" t="str">
        <x:f>IF(D173="","",I172+H173)</x:f>
      </x:c>
      <x:c r="J173" s="46" t="str">
        <x:f>IF(D173="","",MIN(1,I173/Configuracion!$B$11))</x:f>
      </x:c>
      <x:c r="K173" s="48" t="str">
        <x:f>IF(D173="","",MAX(0,(Configuracion!$B$11-I173)/G173))</x:f>
      </x:c>
      <x:c r="L173" s="73" t="str">
        <x:f>IF(D173="","",C173+K173*60)</x:f>
      </x:c>
      <x:c r="M173" t="str">
        <x:f>IF(D173="","",IF(J173&gt;=Configuracion!$B$13,"DESLIZAR",IF(J173&gt;=Configuracion!$B$12,"PREPARARSE","NO DESLIZAR")))</x:f>
      </x:c>
      <x:c r="N173" s="41" t="str">
        <x:f>IF(D173="","",D173-$D$8)</x:f>
      </x:c>
      <x:c r="O173" s="46" t="str">
        <x:f>IF(D173="","",MAX(0,MIN(1,N173/Configuracion!$B$10)))</x:f>
      </x:c>
    </x:row>
    <x:row r="174">
      <x:c r="A174" s="34"/>
      <x:c r="B174" s="36"/>
      <x:c r="C174" s="72"/>
      <x:c r="D174" s="71"/>
      <x:c r="E174" s="41" t="str">
        <x:f>IF(D174="","",D174+273.15)</x:f>
      </x:c>
      <x:c r="F174" s="44" t="str">
        <x:f>IF(OR(C174="",D174="",C173=""),"",(C174-C173)/60)</x:f>
      </x:c>
      <x:c r="G174" s="44" t="str">
        <x:f>IF(D174="","",EXP(-Configuracion!$B$4/Configuracion!$B$5*(1/AVERAGE(E173:E174)-1/(Configuracion!$B$3+273.15))))</x:f>
      </x:c>
      <x:c r="H174" s="44" t="str">
        <x:f>IF(D174="","",F174*G174)</x:f>
      </x:c>
      <x:c r="I174" s="44" t="str">
        <x:f>IF(D174="","",I173+H174)</x:f>
      </x:c>
      <x:c r="J174" s="46" t="str">
        <x:f>IF(D174="","",MIN(1,I174/Configuracion!$B$11))</x:f>
      </x:c>
      <x:c r="K174" s="48" t="str">
        <x:f>IF(D174="","",MAX(0,(Configuracion!$B$11-I174)/G174))</x:f>
      </x:c>
      <x:c r="L174" s="73" t="str">
        <x:f>IF(D174="","",C174+K174*60)</x:f>
      </x:c>
      <x:c r="M174" t="str">
        <x:f>IF(D174="","",IF(J174&gt;=Configuracion!$B$13,"DESLIZAR",IF(J174&gt;=Configuracion!$B$12,"PREPARARSE","NO DESLIZAR")))</x:f>
      </x:c>
      <x:c r="N174" s="41" t="str">
        <x:f>IF(D174="","",D174-$D$8)</x:f>
      </x:c>
      <x:c r="O174" s="46" t="str">
        <x:f>IF(D174="","",MAX(0,MIN(1,N174/Configuracion!$B$10)))</x:f>
      </x:c>
    </x:row>
    <x:row r="175">
      <x:c r="A175" s="34"/>
      <x:c r="B175" s="36"/>
      <x:c r="C175" s="72"/>
      <x:c r="D175" s="71"/>
      <x:c r="E175" s="41" t="str">
        <x:f>IF(D175="","",D175+273.15)</x:f>
      </x:c>
      <x:c r="F175" s="44" t="str">
        <x:f>IF(OR(C175="",D175="",C174=""),"",(C175-C174)/60)</x:f>
      </x:c>
      <x:c r="G175" s="44" t="str">
        <x:f>IF(D175="","",EXP(-Configuracion!$B$4/Configuracion!$B$5*(1/AVERAGE(E174:E175)-1/(Configuracion!$B$3+273.15))))</x:f>
      </x:c>
      <x:c r="H175" s="44" t="str">
        <x:f>IF(D175="","",F175*G175)</x:f>
      </x:c>
      <x:c r="I175" s="44" t="str">
        <x:f>IF(D175="","",I174+H175)</x:f>
      </x:c>
      <x:c r="J175" s="46" t="str">
        <x:f>IF(D175="","",MIN(1,I175/Configuracion!$B$11))</x:f>
      </x:c>
      <x:c r="K175" s="48" t="str">
        <x:f>IF(D175="","",MAX(0,(Configuracion!$B$11-I175)/G175))</x:f>
      </x:c>
      <x:c r="L175" s="73" t="str">
        <x:f>IF(D175="","",C175+K175*60)</x:f>
      </x:c>
      <x:c r="M175" t="str">
        <x:f>IF(D175="","",IF(J175&gt;=Configuracion!$B$13,"DESLIZAR",IF(J175&gt;=Configuracion!$B$12,"PREPARARSE","NO DESLIZAR")))</x:f>
      </x:c>
      <x:c r="N175" s="41" t="str">
        <x:f>IF(D175="","",D175-$D$8)</x:f>
      </x:c>
      <x:c r="O175" s="46" t="str">
        <x:f>IF(D175="","",MAX(0,MIN(1,N175/Configuracion!$B$10)))</x:f>
      </x:c>
    </x:row>
    <x:row r="176">
      <x:c r="A176" s="34"/>
      <x:c r="B176" s="36"/>
      <x:c r="C176" s="72"/>
      <x:c r="D176" s="71"/>
      <x:c r="E176" s="41" t="str">
        <x:f>IF(D176="","",D176+273.15)</x:f>
      </x:c>
      <x:c r="F176" s="44" t="str">
        <x:f>IF(OR(C176="",D176="",C175=""),"",(C176-C175)/60)</x:f>
      </x:c>
      <x:c r="G176" s="44" t="str">
        <x:f>IF(D176="","",EXP(-Configuracion!$B$4/Configuracion!$B$5*(1/AVERAGE(E175:E176)-1/(Configuracion!$B$3+273.15))))</x:f>
      </x:c>
      <x:c r="H176" s="44" t="str">
        <x:f>IF(D176="","",F176*G176)</x:f>
      </x:c>
      <x:c r="I176" s="44" t="str">
        <x:f>IF(D176="","",I175+H176)</x:f>
      </x:c>
      <x:c r="J176" s="46" t="str">
        <x:f>IF(D176="","",MIN(1,I176/Configuracion!$B$11))</x:f>
      </x:c>
      <x:c r="K176" s="48" t="str">
        <x:f>IF(D176="","",MAX(0,(Configuracion!$B$11-I176)/G176))</x:f>
      </x:c>
      <x:c r="L176" s="73" t="str">
        <x:f>IF(D176="","",C176+K176*60)</x:f>
      </x:c>
      <x:c r="M176" t="str">
        <x:f>IF(D176="","",IF(J176&gt;=Configuracion!$B$13,"DESLIZAR",IF(J176&gt;=Configuracion!$B$12,"PREPARARSE","NO DESLIZAR")))</x:f>
      </x:c>
      <x:c r="N176" s="41" t="str">
        <x:f>IF(D176="","",D176-$D$8)</x:f>
      </x:c>
      <x:c r="O176" s="46" t="str">
        <x:f>IF(D176="","",MAX(0,MIN(1,N176/Configuracion!$B$10)))</x:f>
      </x:c>
    </x:row>
    <x:row r="177">
      <x:c r="A177" s="34"/>
      <x:c r="B177" s="36"/>
      <x:c r="C177" s="72"/>
      <x:c r="D177" s="71"/>
      <x:c r="E177" s="41" t="str">
        <x:f>IF(D177="","",D177+273.15)</x:f>
      </x:c>
      <x:c r="F177" s="44" t="str">
        <x:f>IF(OR(C177="",D177="",C176=""),"",(C177-C176)/60)</x:f>
      </x:c>
      <x:c r="G177" s="44" t="str">
        <x:f>IF(D177="","",EXP(-Configuracion!$B$4/Configuracion!$B$5*(1/AVERAGE(E176:E177)-1/(Configuracion!$B$3+273.15))))</x:f>
      </x:c>
      <x:c r="H177" s="44" t="str">
        <x:f>IF(D177="","",F177*G177)</x:f>
      </x:c>
      <x:c r="I177" s="44" t="str">
        <x:f>IF(D177="","",I176+H177)</x:f>
      </x:c>
      <x:c r="J177" s="46" t="str">
        <x:f>IF(D177="","",MIN(1,I177/Configuracion!$B$11))</x:f>
      </x:c>
      <x:c r="K177" s="48" t="str">
        <x:f>IF(D177="","",MAX(0,(Configuracion!$B$11-I177)/G177))</x:f>
      </x:c>
      <x:c r="L177" s="73" t="str">
        <x:f>IF(D177="","",C177+K177*60)</x:f>
      </x:c>
      <x:c r="M177" t="str">
        <x:f>IF(D177="","",IF(J177&gt;=Configuracion!$B$13,"DESLIZAR",IF(J177&gt;=Configuracion!$B$12,"PREPARARSE","NO DESLIZAR")))</x:f>
      </x:c>
      <x:c r="N177" s="41" t="str">
        <x:f>IF(D177="","",D177-$D$8)</x:f>
      </x:c>
      <x:c r="O177" s="46" t="str">
        <x:f>IF(D177="","",MAX(0,MIN(1,N177/Configuracion!$B$10)))</x:f>
      </x:c>
    </x:row>
    <x:row r="178">
      <x:c r="A178" s="34"/>
      <x:c r="B178" s="36"/>
      <x:c r="C178" s="72"/>
      <x:c r="D178" s="71"/>
      <x:c r="E178" s="41" t="str">
        <x:f>IF(D178="","",D178+273.15)</x:f>
      </x:c>
      <x:c r="F178" s="44" t="str">
        <x:f>IF(OR(C178="",D178="",C177=""),"",(C178-C177)/60)</x:f>
      </x:c>
      <x:c r="G178" s="44" t="str">
        <x:f>IF(D178="","",EXP(-Configuracion!$B$4/Configuracion!$B$5*(1/AVERAGE(E177:E178)-1/(Configuracion!$B$3+273.15))))</x:f>
      </x:c>
      <x:c r="H178" s="44" t="str">
        <x:f>IF(D178="","",F178*G178)</x:f>
      </x:c>
      <x:c r="I178" s="44" t="str">
        <x:f>IF(D178="","",I177+H178)</x:f>
      </x:c>
      <x:c r="J178" s="46" t="str">
        <x:f>IF(D178="","",MIN(1,I178/Configuracion!$B$11))</x:f>
      </x:c>
      <x:c r="K178" s="48" t="str">
        <x:f>IF(D178="","",MAX(0,(Configuracion!$B$11-I178)/G178))</x:f>
      </x:c>
      <x:c r="L178" s="73" t="str">
        <x:f>IF(D178="","",C178+K178*60)</x:f>
      </x:c>
      <x:c r="M178" t="str">
        <x:f>IF(D178="","",IF(J178&gt;=Configuracion!$B$13,"DESLIZAR",IF(J178&gt;=Configuracion!$B$12,"PREPARARSE","NO DESLIZAR")))</x:f>
      </x:c>
      <x:c r="N178" s="41" t="str">
        <x:f>IF(D178="","",D178-$D$8)</x:f>
      </x:c>
      <x:c r="O178" s="46" t="str">
        <x:f>IF(D178="","",MAX(0,MIN(1,N178/Configuracion!$B$10)))</x:f>
      </x:c>
    </x:row>
    <x:row r="179">
      <x:c r="A179" s="34"/>
      <x:c r="B179" s="36"/>
      <x:c r="C179" s="72"/>
      <x:c r="D179" s="71"/>
      <x:c r="E179" s="41" t="str">
        <x:f>IF(D179="","",D179+273.15)</x:f>
      </x:c>
      <x:c r="F179" s="44" t="str">
        <x:f>IF(OR(C179="",D179="",C178=""),"",(C179-C178)/60)</x:f>
      </x:c>
      <x:c r="G179" s="44" t="str">
        <x:f>IF(D179="","",EXP(-Configuracion!$B$4/Configuracion!$B$5*(1/AVERAGE(E178:E179)-1/(Configuracion!$B$3+273.15))))</x:f>
      </x:c>
      <x:c r="H179" s="44" t="str">
        <x:f>IF(D179="","",F179*G179)</x:f>
      </x:c>
      <x:c r="I179" s="44" t="str">
        <x:f>IF(D179="","",I178+H179)</x:f>
      </x:c>
      <x:c r="J179" s="46" t="str">
        <x:f>IF(D179="","",MIN(1,I179/Configuracion!$B$11))</x:f>
      </x:c>
      <x:c r="K179" s="48" t="str">
        <x:f>IF(D179="","",MAX(0,(Configuracion!$B$11-I179)/G179))</x:f>
      </x:c>
      <x:c r="L179" s="73" t="str">
        <x:f>IF(D179="","",C179+K179*60)</x:f>
      </x:c>
      <x:c r="M179" t="str">
        <x:f>IF(D179="","",IF(J179&gt;=Configuracion!$B$13,"DESLIZAR",IF(J179&gt;=Configuracion!$B$12,"PREPARARSE","NO DESLIZAR")))</x:f>
      </x:c>
      <x:c r="N179" s="41" t="str">
        <x:f>IF(D179="","",D179-$D$8)</x:f>
      </x:c>
      <x:c r="O179" s="46" t="str">
        <x:f>IF(D179="","",MAX(0,MIN(1,N179/Configuracion!$B$10)))</x:f>
      </x:c>
    </x:row>
    <x:row r="180">
      <x:c r="A180" s="34"/>
      <x:c r="B180" s="36"/>
      <x:c r="C180" s="72"/>
      <x:c r="D180" s="71"/>
      <x:c r="E180" s="41" t="str">
        <x:f>IF(D180="","",D180+273.15)</x:f>
      </x:c>
      <x:c r="F180" s="44" t="str">
        <x:f>IF(OR(C180="",D180="",C179=""),"",(C180-C179)/60)</x:f>
      </x:c>
      <x:c r="G180" s="44" t="str">
        <x:f>IF(D180="","",EXP(-Configuracion!$B$4/Configuracion!$B$5*(1/AVERAGE(E179:E180)-1/(Configuracion!$B$3+273.15))))</x:f>
      </x:c>
      <x:c r="H180" s="44" t="str">
        <x:f>IF(D180="","",F180*G180)</x:f>
      </x:c>
      <x:c r="I180" s="44" t="str">
        <x:f>IF(D180="","",I179+H180)</x:f>
      </x:c>
      <x:c r="J180" s="46" t="str">
        <x:f>IF(D180="","",MIN(1,I180/Configuracion!$B$11))</x:f>
      </x:c>
      <x:c r="K180" s="48" t="str">
        <x:f>IF(D180="","",MAX(0,(Configuracion!$B$11-I180)/G180))</x:f>
      </x:c>
      <x:c r="L180" s="73" t="str">
        <x:f>IF(D180="","",C180+K180*60)</x:f>
      </x:c>
      <x:c r="M180" t="str">
        <x:f>IF(D180="","",IF(J180&gt;=Configuracion!$B$13,"DESLIZAR",IF(J180&gt;=Configuracion!$B$12,"PREPARARSE","NO DESLIZAR")))</x:f>
      </x:c>
      <x:c r="N180" s="41" t="str">
        <x:f>IF(D180="","",D180-$D$8)</x:f>
      </x:c>
      <x:c r="O180" s="46" t="str">
        <x:f>IF(D180="","",MAX(0,MIN(1,N180/Configuracion!$B$10)))</x:f>
      </x:c>
    </x:row>
    <x:row r="181">
      <x:c r="A181" s="34"/>
      <x:c r="B181" s="36"/>
      <x:c r="C181" s="72"/>
      <x:c r="D181" s="71"/>
      <x:c r="E181" s="41" t="str">
        <x:f>IF(D181="","",D181+273.15)</x:f>
      </x:c>
      <x:c r="F181" s="44" t="str">
        <x:f>IF(OR(C181="",D181="",C180=""),"",(C181-C180)/60)</x:f>
      </x:c>
      <x:c r="G181" s="44" t="str">
        <x:f>IF(D181="","",EXP(-Configuracion!$B$4/Configuracion!$B$5*(1/AVERAGE(E180:E181)-1/(Configuracion!$B$3+273.15))))</x:f>
      </x:c>
      <x:c r="H181" s="44" t="str">
        <x:f>IF(D181="","",F181*G181)</x:f>
      </x:c>
      <x:c r="I181" s="44" t="str">
        <x:f>IF(D181="","",I180+H181)</x:f>
      </x:c>
      <x:c r="J181" s="46" t="str">
        <x:f>IF(D181="","",MIN(1,I181/Configuracion!$B$11))</x:f>
      </x:c>
      <x:c r="K181" s="48" t="str">
        <x:f>IF(D181="","",MAX(0,(Configuracion!$B$11-I181)/G181))</x:f>
      </x:c>
      <x:c r="L181" s="73" t="str">
        <x:f>IF(D181="","",C181+K181*60)</x:f>
      </x:c>
      <x:c r="M181" t="str">
        <x:f>IF(D181="","",IF(J181&gt;=Configuracion!$B$13,"DESLIZAR",IF(J181&gt;=Configuracion!$B$12,"PREPARARSE","NO DESLIZAR")))</x:f>
      </x:c>
      <x:c r="N181" s="41" t="str">
        <x:f>IF(D181="","",D181-$D$8)</x:f>
      </x:c>
      <x:c r="O181" s="46" t="str">
        <x:f>IF(D181="","",MAX(0,MIN(1,N181/Configuracion!$B$10)))</x:f>
      </x:c>
    </x:row>
    <x:row r="182">
      <x:c r="A182" s="34"/>
      <x:c r="B182" s="36"/>
      <x:c r="C182" s="72"/>
      <x:c r="D182" s="71"/>
      <x:c r="E182" s="41" t="str">
        <x:f>IF(D182="","",D182+273.15)</x:f>
      </x:c>
      <x:c r="F182" s="44" t="str">
        <x:f>IF(OR(C182="",D182="",C181=""),"",(C182-C181)/60)</x:f>
      </x:c>
      <x:c r="G182" s="44" t="str">
        <x:f>IF(D182="","",EXP(-Configuracion!$B$4/Configuracion!$B$5*(1/AVERAGE(E181:E182)-1/(Configuracion!$B$3+273.15))))</x:f>
      </x:c>
      <x:c r="H182" s="44" t="str">
        <x:f>IF(D182="","",F182*G182)</x:f>
      </x:c>
      <x:c r="I182" s="44" t="str">
        <x:f>IF(D182="","",I181+H182)</x:f>
      </x:c>
      <x:c r="J182" s="46" t="str">
        <x:f>IF(D182="","",MIN(1,I182/Configuracion!$B$11))</x:f>
      </x:c>
      <x:c r="K182" s="48" t="str">
        <x:f>IF(D182="","",MAX(0,(Configuracion!$B$11-I182)/G182))</x:f>
      </x:c>
      <x:c r="L182" s="73" t="str">
        <x:f>IF(D182="","",C182+K182*60)</x:f>
      </x:c>
      <x:c r="M182" t="str">
        <x:f>IF(D182="","",IF(J182&gt;=Configuracion!$B$13,"DESLIZAR",IF(J182&gt;=Configuracion!$B$12,"PREPARARSE","NO DESLIZAR")))</x:f>
      </x:c>
      <x:c r="N182" s="41" t="str">
        <x:f>IF(D182="","",D182-$D$8)</x:f>
      </x:c>
      <x:c r="O182" s="46" t="str">
        <x:f>IF(D182="","",MAX(0,MIN(1,N182/Configuracion!$B$10)))</x:f>
      </x:c>
    </x:row>
    <x:row r="183">
      <x:c r="A183" s="34"/>
      <x:c r="B183" s="36"/>
      <x:c r="C183" s="72"/>
      <x:c r="D183" s="71"/>
      <x:c r="E183" s="41" t="str">
        <x:f>IF(D183="","",D183+273.15)</x:f>
      </x:c>
      <x:c r="F183" s="44" t="str">
        <x:f>IF(OR(C183="",D183="",C182=""),"",(C183-C182)/60)</x:f>
      </x:c>
      <x:c r="G183" s="44" t="str">
        <x:f>IF(D183="","",EXP(-Configuracion!$B$4/Configuracion!$B$5*(1/AVERAGE(E182:E183)-1/(Configuracion!$B$3+273.15))))</x:f>
      </x:c>
      <x:c r="H183" s="44" t="str">
        <x:f>IF(D183="","",F183*G183)</x:f>
      </x:c>
      <x:c r="I183" s="44" t="str">
        <x:f>IF(D183="","",I182+H183)</x:f>
      </x:c>
      <x:c r="J183" s="46" t="str">
        <x:f>IF(D183="","",MIN(1,I183/Configuracion!$B$11))</x:f>
      </x:c>
      <x:c r="K183" s="48" t="str">
        <x:f>IF(D183="","",MAX(0,(Configuracion!$B$11-I183)/G183))</x:f>
      </x:c>
      <x:c r="L183" s="73" t="str">
        <x:f>IF(D183="","",C183+K183*60)</x:f>
      </x:c>
      <x:c r="M183" t="str">
        <x:f>IF(D183="","",IF(J183&gt;=Configuracion!$B$13,"DESLIZAR",IF(J183&gt;=Configuracion!$B$12,"PREPARARSE","NO DESLIZAR")))</x:f>
      </x:c>
      <x:c r="N183" s="41" t="str">
        <x:f>IF(D183="","",D183-$D$8)</x:f>
      </x:c>
      <x:c r="O183" s="46" t="str">
        <x:f>IF(D183="","",MAX(0,MIN(1,N183/Configuracion!$B$10)))</x:f>
      </x:c>
    </x:row>
    <x:row r="184">
      <x:c r="A184" s="34"/>
      <x:c r="B184" s="36"/>
      <x:c r="C184" s="72"/>
      <x:c r="D184" s="71"/>
      <x:c r="E184" s="41" t="str">
        <x:f>IF(D184="","",D184+273.15)</x:f>
      </x:c>
      <x:c r="F184" s="44" t="str">
        <x:f>IF(OR(C184="",D184="",C183=""),"",(C184-C183)/60)</x:f>
      </x:c>
      <x:c r="G184" s="44" t="str">
        <x:f>IF(D184="","",EXP(-Configuracion!$B$4/Configuracion!$B$5*(1/AVERAGE(E183:E184)-1/(Configuracion!$B$3+273.15))))</x:f>
      </x:c>
      <x:c r="H184" s="44" t="str">
        <x:f>IF(D184="","",F184*G184)</x:f>
      </x:c>
      <x:c r="I184" s="44" t="str">
        <x:f>IF(D184="","",I183+H184)</x:f>
      </x:c>
      <x:c r="J184" s="46" t="str">
        <x:f>IF(D184="","",MIN(1,I184/Configuracion!$B$11))</x:f>
      </x:c>
      <x:c r="K184" s="48" t="str">
        <x:f>IF(D184="","",MAX(0,(Configuracion!$B$11-I184)/G184))</x:f>
      </x:c>
      <x:c r="L184" s="73" t="str">
        <x:f>IF(D184="","",C184+K184*60)</x:f>
      </x:c>
      <x:c r="M184" t="str">
        <x:f>IF(D184="","",IF(J184&gt;=Configuracion!$B$13,"DESLIZAR",IF(J184&gt;=Configuracion!$B$12,"PREPARARSE","NO DESLIZAR")))</x:f>
      </x:c>
      <x:c r="N184" s="41" t="str">
        <x:f>IF(D184="","",D184-$D$8)</x:f>
      </x:c>
      <x:c r="O184" s="46" t="str">
        <x:f>IF(D184="","",MAX(0,MIN(1,N184/Configuracion!$B$10)))</x:f>
      </x:c>
    </x:row>
    <x:row r="185">
      <x:c r="A185" s="34"/>
      <x:c r="B185" s="36"/>
      <x:c r="C185" s="72"/>
      <x:c r="D185" s="71"/>
      <x:c r="E185" s="41" t="str">
        <x:f>IF(D185="","",D185+273.15)</x:f>
      </x:c>
      <x:c r="F185" s="44" t="str">
        <x:f>IF(OR(C185="",D185="",C184=""),"",(C185-C184)/60)</x:f>
      </x:c>
      <x:c r="G185" s="44" t="str">
        <x:f>IF(D185="","",EXP(-Configuracion!$B$4/Configuracion!$B$5*(1/AVERAGE(E184:E185)-1/(Configuracion!$B$3+273.15))))</x:f>
      </x:c>
      <x:c r="H185" s="44" t="str">
        <x:f>IF(D185="","",F185*G185)</x:f>
      </x:c>
      <x:c r="I185" s="44" t="str">
        <x:f>IF(D185="","",I184+H185)</x:f>
      </x:c>
      <x:c r="J185" s="46" t="str">
        <x:f>IF(D185="","",MIN(1,I185/Configuracion!$B$11))</x:f>
      </x:c>
      <x:c r="K185" s="48" t="str">
        <x:f>IF(D185="","",MAX(0,(Configuracion!$B$11-I185)/G185))</x:f>
      </x:c>
      <x:c r="L185" s="73" t="str">
        <x:f>IF(D185="","",C185+K185*60)</x:f>
      </x:c>
      <x:c r="M185" t="str">
        <x:f>IF(D185="","",IF(J185&gt;=Configuracion!$B$13,"DESLIZAR",IF(J185&gt;=Configuracion!$B$12,"PREPARARSE","NO DESLIZAR")))</x:f>
      </x:c>
      <x:c r="N185" s="41" t="str">
        <x:f>IF(D185="","",D185-$D$8)</x:f>
      </x:c>
      <x:c r="O185" s="46" t="str">
        <x:f>IF(D185="","",MAX(0,MIN(1,N185/Configuracion!$B$10)))</x:f>
      </x:c>
    </x:row>
    <x:row r="186">
      <x:c r="A186" s="34"/>
      <x:c r="B186" s="36"/>
      <x:c r="C186" s="72"/>
      <x:c r="D186" s="71"/>
      <x:c r="E186" s="41" t="str">
        <x:f>IF(D186="","",D186+273.15)</x:f>
      </x:c>
      <x:c r="F186" s="44" t="str">
        <x:f>IF(OR(C186="",D186="",C185=""),"",(C186-C185)/60)</x:f>
      </x:c>
      <x:c r="G186" s="44" t="str">
        <x:f>IF(D186="","",EXP(-Configuracion!$B$4/Configuracion!$B$5*(1/AVERAGE(E185:E186)-1/(Configuracion!$B$3+273.15))))</x:f>
      </x:c>
      <x:c r="H186" s="44" t="str">
        <x:f>IF(D186="","",F186*G186)</x:f>
      </x:c>
      <x:c r="I186" s="44" t="str">
        <x:f>IF(D186="","",I185+H186)</x:f>
      </x:c>
      <x:c r="J186" s="46" t="str">
        <x:f>IF(D186="","",MIN(1,I186/Configuracion!$B$11))</x:f>
      </x:c>
      <x:c r="K186" s="48" t="str">
        <x:f>IF(D186="","",MAX(0,(Configuracion!$B$11-I186)/G186))</x:f>
      </x:c>
      <x:c r="L186" s="73" t="str">
        <x:f>IF(D186="","",C186+K186*60)</x:f>
      </x:c>
      <x:c r="M186" t="str">
        <x:f>IF(D186="","",IF(J186&gt;=Configuracion!$B$13,"DESLIZAR",IF(J186&gt;=Configuracion!$B$12,"PREPARARSE","NO DESLIZAR")))</x:f>
      </x:c>
      <x:c r="N186" s="41" t="str">
        <x:f>IF(D186="","",D186-$D$8)</x:f>
      </x:c>
      <x:c r="O186" s="46" t="str">
        <x:f>IF(D186="","",MAX(0,MIN(1,N186/Configuracion!$B$10)))</x:f>
      </x:c>
    </x:row>
    <x:row r="187">
      <x:c r="A187" s="34"/>
      <x:c r="B187" s="36"/>
      <x:c r="C187" s="72"/>
      <x:c r="D187" s="71"/>
      <x:c r="E187" s="41" t="str">
        <x:f>IF(D187="","",D187+273.15)</x:f>
      </x:c>
      <x:c r="F187" s="44" t="str">
        <x:f>IF(OR(C187="",D187="",C186=""),"",(C187-C186)/60)</x:f>
      </x:c>
      <x:c r="G187" s="44" t="str">
        <x:f>IF(D187="","",EXP(-Configuracion!$B$4/Configuracion!$B$5*(1/AVERAGE(E186:E187)-1/(Configuracion!$B$3+273.15))))</x:f>
      </x:c>
      <x:c r="H187" s="44" t="str">
        <x:f>IF(D187="","",F187*G187)</x:f>
      </x:c>
      <x:c r="I187" s="44" t="str">
        <x:f>IF(D187="","",I186+H187)</x:f>
      </x:c>
      <x:c r="J187" s="46" t="str">
        <x:f>IF(D187="","",MIN(1,I187/Configuracion!$B$11))</x:f>
      </x:c>
      <x:c r="K187" s="48" t="str">
        <x:f>IF(D187="","",MAX(0,(Configuracion!$B$11-I187)/G187))</x:f>
      </x:c>
      <x:c r="L187" s="73" t="str">
        <x:f>IF(D187="","",C187+K187*60)</x:f>
      </x:c>
      <x:c r="M187" t="str">
        <x:f>IF(D187="","",IF(J187&gt;=Configuracion!$B$13,"DESLIZAR",IF(J187&gt;=Configuracion!$B$12,"PREPARARSE","NO DESLIZAR")))</x:f>
      </x:c>
      <x:c r="N187" s="41" t="str">
        <x:f>IF(D187="","",D187-$D$8)</x:f>
      </x:c>
      <x:c r="O187" s="46" t="str">
        <x:f>IF(D187="","",MAX(0,MIN(1,N187/Configuracion!$B$10)))</x:f>
      </x:c>
    </x:row>
    <x:row r="188">
      <x:c r="A188" s="34"/>
      <x:c r="B188" s="36"/>
      <x:c r="C188" s="72"/>
      <x:c r="D188" s="71"/>
      <x:c r="E188" s="41" t="str">
        <x:f>IF(D188="","",D188+273.15)</x:f>
      </x:c>
      <x:c r="F188" s="44" t="str">
        <x:f>IF(OR(C188="",D188="",C187=""),"",(C188-C187)/60)</x:f>
      </x:c>
      <x:c r="G188" s="44" t="str">
        <x:f>IF(D188="","",EXP(-Configuracion!$B$4/Configuracion!$B$5*(1/AVERAGE(E187:E188)-1/(Configuracion!$B$3+273.15))))</x:f>
      </x:c>
      <x:c r="H188" s="44" t="str">
        <x:f>IF(D188="","",F188*G188)</x:f>
      </x:c>
      <x:c r="I188" s="44" t="str">
        <x:f>IF(D188="","",I187+H188)</x:f>
      </x:c>
      <x:c r="J188" s="46" t="str">
        <x:f>IF(D188="","",MIN(1,I188/Configuracion!$B$11))</x:f>
      </x:c>
      <x:c r="K188" s="48" t="str">
        <x:f>IF(D188="","",MAX(0,(Configuracion!$B$11-I188)/G188))</x:f>
      </x:c>
      <x:c r="L188" s="73" t="str">
        <x:f>IF(D188="","",C188+K188*60)</x:f>
      </x:c>
      <x:c r="M188" t="str">
        <x:f>IF(D188="","",IF(J188&gt;=Configuracion!$B$13,"DESLIZAR",IF(J188&gt;=Configuracion!$B$12,"PREPARARSE","NO DESLIZAR")))</x:f>
      </x:c>
      <x:c r="N188" s="41" t="str">
        <x:f>IF(D188="","",D188-$D$8)</x:f>
      </x:c>
      <x:c r="O188" s="46" t="str">
        <x:f>IF(D188="","",MAX(0,MIN(1,N188/Configuracion!$B$10)))</x:f>
      </x:c>
    </x:row>
    <x:row r="189">
      <x:c r="A189" s="34"/>
      <x:c r="B189" s="36"/>
      <x:c r="C189" s="72"/>
      <x:c r="D189" s="71"/>
      <x:c r="E189" s="41" t="str">
        <x:f>IF(D189="","",D189+273.15)</x:f>
      </x:c>
      <x:c r="F189" s="44" t="str">
        <x:f>IF(OR(C189="",D189="",C188=""),"",(C189-C188)/60)</x:f>
      </x:c>
      <x:c r="G189" s="44" t="str">
        <x:f>IF(D189="","",EXP(-Configuracion!$B$4/Configuracion!$B$5*(1/AVERAGE(E188:E189)-1/(Configuracion!$B$3+273.15))))</x:f>
      </x:c>
      <x:c r="H189" s="44" t="str">
        <x:f>IF(D189="","",F189*G189)</x:f>
      </x:c>
      <x:c r="I189" s="44" t="str">
        <x:f>IF(D189="","",I188+H189)</x:f>
      </x:c>
      <x:c r="J189" s="46" t="str">
        <x:f>IF(D189="","",MIN(1,I189/Configuracion!$B$11))</x:f>
      </x:c>
      <x:c r="K189" s="48" t="str">
        <x:f>IF(D189="","",MAX(0,(Configuracion!$B$11-I189)/G189))</x:f>
      </x:c>
      <x:c r="L189" s="73" t="str">
        <x:f>IF(D189="","",C189+K189*60)</x:f>
      </x:c>
      <x:c r="M189" t="str">
        <x:f>IF(D189="","",IF(J189&gt;=Configuracion!$B$13,"DESLIZAR",IF(J189&gt;=Configuracion!$B$12,"PREPARARSE","NO DESLIZAR")))</x:f>
      </x:c>
      <x:c r="N189" s="41" t="str">
        <x:f>IF(D189="","",D189-$D$8)</x:f>
      </x:c>
      <x:c r="O189" s="46" t="str">
        <x:f>IF(D189="","",MAX(0,MIN(1,N189/Configuracion!$B$10)))</x:f>
      </x:c>
    </x:row>
    <x:row r="190">
      <x:c r="A190" s="34"/>
      <x:c r="B190" s="36"/>
      <x:c r="C190" s="72"/>
      <x:c r="D190" s="71"/>
      <x:c r="E190" s="41" t="str">
        <x:f>IF(D190="","",D190+273.15)</x:f>
      </x:c>
      <x:c r="F190" s="44" t="str">
        <x:f>IF(OR(C190="",D190="",C189=""),"",(C190-C189)/60)</x:f>
      </x:c>
      <x:c r="G190" s="44" t="str">
        <x:f>IF(D190="","",EXP(-Configuracion!$B$4/Configuracion!$B$5*(1/AVERAGE(E189:E190)-1/(Configuracion!$B$3+273.15))))</x:f>
      </x:c>
      <x:c r="H190" s="44" t="str">
        <x:f>IF(D190="","",F190*G190)</x:f>
      </x:c>
      <x:c r="I190" s="44" t="str">
        <x:f>IF(D190="","",I189+H190)</x:f>
      </x:c>
      <x:c r="J190" s="46" t="str">
        <x:f>IF(D190="","",MIN(1,I190/Configuracion!$B$11))</x:f>
      </x:c>
      <x:c r="K190" s="48" t="str">
        <x:f>IF(D190="","",MAX(0,(Configuracion!$B$11-I190)/G190))</x:f>
      </x:c>
      <x:c r="L190" s="73" t="str">
        <x:f>IF(D190="","",C190+K190*60)</x:f>
      </x:c>
      <x:c r="M190" t="str">
        <x:f>IF(D190="","",IF(J190&gt;=Configuracion!$B$13,"DESLIZAR",IF(J190&gt;=Configuracion!$B$12,"PREPARARSE","NO DESLIZAR")))</x:f>
      </x:c>
      <x:c r="N190" s="41" t="str">
        <x:f>IF(D190="","",D190-$D$8)</x:f>
      </x:c>
      <x:c r="O190" s="46" t="str">
        <x:f>IF(D190="","",MAX(0,MIN(1,N190/Configuracion!$B$10)))</x:f>
      </x:c>
    </x:row>
    <x:row r="191">
      <x:c r="A191" s="34"/>
      <x:c r="B191" s="36"/>
      <x:c r="C191" s="72"/>
      <x:c r="D191" s="71"/>
      <x:c r="E191" s="41" t="str">
        <x:f>IF(D191="","",D191+273.15)</x:f>
      </x:c>
      <x:c r="F191" s="44" t="str">
        <x:f>IF(OR(C191="",D191="",C190=""),"",(C191-C190)/60)</x:f>
      </x:c>
      <x:c r="G191" s="44" t="str">
        <x:f>IF(D191="","",EXP(-Configuracion!$B$4/Configuracion!$B$5*(1/AVERAGE(E190:E191)-1/(Configuracion!$B$3+273.15))))</x:f>
      </x:c>
      <x:c r="H191" s="44" t="str">
        <x:f>IF(D191="","",F191*G191)</x:f>
      </x:c>
      <x:c r="I191" s="44" t="str">
        <x:f>IF(D191="","",I190+H191)</x:f>
      </x:c>
      <x:c r="J191" s="46" t="str">
        <x:f>IF(D191="","",MIN(1,I191/Configuracion!$B$11))</x:f>
      </x:c>
      <x:c r="K191" s="48" t="str">
        <x:f>IF(D191="","",MAX(0,(Configuracion!$B$11-I191)/G191))</x:f>
      </x:c>
      <x:c r="L191" s="73" t="str">
        <x:f>IF(D191="","",C191+K191*60)</x:f>
      </x:c>
      <x:c r="M191" t="str">
        <x:f>IF(D191="","",IF(J191&gt;=Configuracion!$B$13,"DESLIZAR",IF(J191&gt;=Configuracion!$B$12,"PREPARARSE","NO DESLIZAR")))</x:f>
      </x:c>
      <x:c r="N191" s="41" t="str">
        <x:f>IF(D191="","",D191-$D$8)</x:f>
      </x:c>
      <x:c r="O191" s="46" t="str">
        <x:f>IF(D191="","",MAX(0,MIN(1,N191/Configuracion!$B$10)))</x:f>
      </x:c>
    </x:row>
    <x:row r="192">
      <x:c r="A192" s="34"/>
      <x:c r="B192" s="36"/>
      <x:c r="C192" s="72"/>
      <x:c r="D192" s="71"/>
      <x:c r="E192" s="41" t="str">
        <x:f>IF(D192="","",D192+273.15)</x:f>
      </x:c>
      <x:c r="F192" s="44" t="str">
        <x:f>IF(OR(C192="",D192="",C191=""),"",(C192-C191)/60)</x:f>
      </x:c>
      <x:c r="G192" s="44" t="str">
        <x:f>IF(D192="","",EXP(-Configuracion!$B$4/Configuracion!$B$5*(1/AVERAGE(E191:E192)-1/(Configuracion!$B$3+273.15))))</x:f>
      </x:c>
      <x:c r="H192" s="44" t="str">
        <x:f>IF(D192="","",F192*G192)</x:f>
      </x:c>
      <x:c r="I192" s="44" t="str">
        <x:f>IF(D192="","",I191+H192)</x:f>
      </x:c>
      <x:c r="J192" s="46" t="str">
        <x:f>IF(D192="","",MIN(1,I192/Configuracion!$B$11))</x:f>
      </x:c>
      <x:c r="K192" s="48" t="str">
        <x:f>IF(D192="","",MAX(0,(Configuracion!$B$11-I192)/G192))</x:f>
      </x:c>
      <x:c r="L192" s="73" t="str">
        <x:f>IF(D192="","",C192+K192*60)</x:f>
      </x:c>
      <x:c r="M192" t="str">
        <x:f>IF(D192="","",IF(J192&gt;=Configuracion!$B$13,"DESLIZAR",IF(J192&gt;=Configuracion!$B$12,"PREPARARSE","NO DESLIZAR")))</x:f>
      </x:c>
      <x:c r="N192" s="41" t="str">
        <x:f>IF(D192="","",D192-$D$8)</x:f>
      </x:c>
      <x:c r="O192" s="46" t="str">
        <x:f>IF(D192="","",MAX(0,MIN(1,N192/Configuracion!$B$10)))</x:f>
      </x:c>
    </x:row>
    <x:row r="193">
      <x:c r="A193" s="34"/>
      <x:c r="B193" s="36"/>
      <x:c r="C193" s="72"/>
      <x:c r="D193" s="71"/>
      <x:c r="E193" s="41" t="str">
        <x:f>IF(D193="","",D193+273.15)</x:f>
      </x:c>
      <x:c r="F193" s="44" t="str">
        <x:f>IF(OR(C193="",D193="",C192=""),"",(C193-C192)/60)</x:f>
      </x:c>
      <x:c r="G193" s="44" t="str">
        <x:f>IF(D193="","",EXP(-Configuracion!$B$4/Configuracion!$B$5*(1/AVERAGE(E192:E193)-1/(Configuracion!$B$3+273.15))))</x:f>
      </x:c>
      <x:c r="H193" s="44" t="str">
        <x:f>IF(D193="","",F193*G193)</x:f>
      </x:c>
      <x:c r="I193" s="44" t="str">
        <x:f>IF(D193="","",I192+H193)</x:f>
      </x:c>
      <x:c r="J193" s="46" t="str">
        <x:f>IF(D193="","",MIN(1,I193/Configuracion!$B$11))</x:f>
      </x:c>
      <x:c r="K193" s="48" t="str">
        <x:f>IF(D193="","",MAX(0,(Configuracion!$B$11-I193)/G193))</x:f>
      </x:c>
      <x:c r="L193" s="73" t="str">
        <x:f>IF(D193="","",C193+K193*60)</x:f>
      </x:c>
      <x:c r="M193" t="str">
        <x:f>IF(D193="","",IF(J193&gt;=Configuracion!$B$13,"DESLIZAR",IF(J193&gt;=Configuracion!$B$12,"PREPARARSE","NO DESLIZAR")))</x:f>
      </x:c>
      <x:c r="N193" s="41" t="str">
        <x:f>IF(D193="","",D193-$D$8)</x:f>
      </x:c>
      <x:c r="O193" s="46" t="str">
        <x:f>IF(D193="","",MAX(0,MIN(1,N193/Configuracion!$B$10)))</x:f>
      </x:c>
    </x:row>
    <x:row r="194">
      <x:c r="A194" s="34"/>
      <x:c r="B194" s="36"/>
      <x:c r="C194" s="72"/>
      <x:c r="D194" s="71"/>
      <x:c r="E194" s="41" t="str">
        <x:f>IF(D194="","",D194+273.15)</x:f>
      </x:c>
      <x:c r="F194" s="44" t="str">
        <x:f>IF(OR(C194="",D194="",C193=""),"",(C194-C193)/60)</x:f>
      </x:c>
      <x:c r="G194" s="44" t="str">
        <x:f>IF(D194="","",EXP(-Configuracion!$B$4/Configuracion!$B$5*(1/AVERAGE(E193:E194)-1/(Configuracion!$B$3+273.15))))</x:f>
      </x:c>
      <x:c r="H194" s="44" t="str">
        <x:f>IF(D194="","",F194*G194)</x:f>
      </x:c>
      <x:c r="I194" s="44" t="str">
        <x:f>IF(D194="","",I193+H194)</x:f>
      </x:c>
      <x:c r="J194" s="46" t="str">
        <x:f>IF(D194="","",MIN(1,I194/Configuracion!$B$11))</x:f>
      </x:c>
      <x:c r="K194" s="48" t="str">
        <x:f>IF(D194="","",MAX(0,(Configuracion!$B$11-I194)/G194))</x:f>
      </x:c>
      <x:c r="L194" s="73" t="str">
        <x:f>IF(D194="","",C194+K194*60)</x:f>
      </x:c>
      <x:c r="M194" t="str">
        <x:f>IF(D194="","",IF(J194&gt;=Configuracion!$B$13,"DESLIZAR",IF(J194&gt;=Configuracion!$B$12,"PREPARARSE","NO DESLIZAR")))</x:f>
      </x:c>
      <x:c r="N194" s="41" t="str">
        <x:f>IF(D194="","",D194-$D$8)</x:f>
      </x:c>
      <x:c r="O194" s="46" t="str">
        <x:f>IF(D194="","",MAX(0,MIN(1,N194/Configuracion!$B$10)))</x:f>
      </x:c>
    </x:row>
    <x:row r="195">
      <x:c r="A195" s="34"/>
      <x:c r="B195" s="36"/>
      <x:c r="C195" s="72"/>
      <x:c r="D195" s="71"/>
      <x:c r="E195" s="41" t="str">
        <x:f>IF(D195="","",D195+273.15)</x:f>
      </x:c>
      <x:c r="F195" s="44" t="str">
        <x:f>IF(OR(C195="",D195="",C194=""),"",(C195-C194)/60)</x:f>
      </x:c>
      <x:c r="G195" s="44" t="str">
        <x:f>IF(D195="","",EXP(-Configuracion!$B$4/Configuracion!$B$5*(1/AVERAGE(E194:E195)-1/(Configuracion!$B$3+273.15))))</x:f>
      </x:c>
      <x:c r="H195" s="44" t="str">
        <x:f>IF(D195="","",F195*G195)</x:f>
      </x:c>
      <x:c r="I195" s="44" t="str">
        <x:f>IF(D195="","",I194+H195)</x:f>
      </x:c>
      <x:c r="J195" s="46" t="str">
        <x:f>IF(D195="","",MIN(1,I195/Configuracion!$B$11))</x:f>
      </x:c>
      <x:c r="K195" s="48" t="str">
        <x:f>IF(D195="","",MAX(0,(Configuracion!$B$11-I195)/G195))</x:f>
      </x:c>
      <x:c r="L195" s="73" t="str">
        <x:f>IF(D195="","",C195+K195*60)</x:f>
      </x:c>
      <x:c r="M195" t="str">
        <x:f>IF(D195="","",IF(J195&gt;=Configuracion!$B$13,"DESLIZAR",IF(J195&gt;=Configuracion!$B$12,"PREPARARSE","NO DESLIZAR")))</x:f>
      </x:c>
      <x:c r="N195" s="41" t="str">
        <x:f>IF(D195="","",D195-$D$8)</x:f>
      </x:c>
      <x:c r="O195" s="46" t="str">
        <x:f>IF(D195="","",MAX(0,MIN(1,N195/Configuracion!$B$10)))</x:f>
      </x:c>
    </x:row>
    <x:row r="196">
      <x:c r="A196" s="34"/>
      <x:c r="B196" s="36"/>
      <x:c r="C196" s="72"/>
      <x:c r="D196" s="71"/>
      <x:c r="E196" s="41" t="str">
        <x:f>IF(D196="","",D196+273.15)</x:f>
      </x:c>
      <x:c r="F196" s="44" t="str">
        <x:f>IF(OR(C196="",D196="",C195=""),"",(C196-C195)/60)</x:f>
      </x:c>
      <x:c r="G196" s="44" t="str">
        <x:f>IF(D196="","",EXP(-Configuracion!$B$4/Configuracion!$B$5*(1/AVERAGE(E195:E196)-1/(Configuracion!$B$3+273.15))))</x:f>
      </x:c>
      <x:c r="H196" s="44" t="str">
        <x:f>IF(D196="","",F196*G196)</x:f>
      </x:c>
      <x:c r="I196" s="44" t="str">
        <x:f>IF(D196="","",I195+H196)</x:f>
      </x:c>
      <x:c r="J196" s="46" t="str">
        <x:f>IF(D196="","",MIN(1,I196/Configuracion!$B$11))</x:f>
      </x:c>
      <x:c r="K196" s="48" t="str">
        <x:f>IF(D196="","",MAX(0,(Configuracion!$B$11-I196)/G196))</x:f>
      </x:c>
      <x:c r="L196" s="73" t="str">
        <x:f>IF(D196="","",C196+K196*60)</x:f>
      </x:c>
      <x:c r="M196" t="str">
        <x:f>IF(D196="","",IF(J196&gt;=Configuracion!$B$13,"DESLIZAR",IF(J196&gt;=Configuracion!$B$12,"PREPARARSE","NO DESLIZAR")))</x:f>
      </x:c>
      <x:c r="N196" s="41" t="str">
        <x:f>IF(D196="","",D196-$D$8)</x:f>
      </x:c>
      <x:c r="O196" s="46" t="str">
        <x:f>IF(D196="","",MAX(0,MIN(1,N196/Configuracion!$B$10)))</x:f>
      </x:c>
    </x:row>
    <x:row r="197">
      <x:c r="A197" s="34"/>
      <x:c r="B197" s="36"/>
      <x:c r="C197" s="72"/>
      <x:c r="D197" s="71"/>
      <x:c r="E197" s="41" t="str">
        <x:f>IF(D197="","",D197+273.15)</x:f>
      </x:c>
      <x:c r="F197" s="44" t="str">
        <x:f>IF(OR(C197="",D197="",C196=""),"",(C197-C196)/60)</x:f>
      </x:c>
      <x:c r="G197" s="44" t="str">
        <x:f>IF(D197="","",EXP(-Configuracion!$B$4/Configuracion!$B$5*(1/AVERAGE(E196:E197)-1/(Configuracion!$B$3+273.15))))</x:f>
      </x:c>
      <x:c r="H197" s="44" t="str">
        <x:f>IF(D197="","",F197*G197)</x:f>
      </x:c>
      <x:c r="I197" s="44" t="str">
        <x:f>IF(D197="","",I196+H197)</x:f>
      </x:c>
      <x:c r="J197" s="46" t="str">
        <x:f>IF(D197="","",MIN(1,I197/Configuracion!$B$11))</x:f>
      </x:c>
      <x:c r="K197" s="48" t="str">
        <x:f>IF(D197="","",MAX(0,(Configuracion!$B$11-I197)/G197))</x:f>
      </x:c>
      <x:c r="L197" s="73" t="str">
        <x:f>IF(D197="","",C197+K197*60)</x:f>
      </x:c>
      <x:c r="M197" t="str">
        <x:f>IF(D197="","",IF(J197&gt;=Configuracion!$B$13,"DESLIZAR",IF(J197&gt;=Configuracion!$B$12,"PREPARARSE","NO DESLIZAR")))</x:f>
      </x:c>
      <x:c r="N197" s="41" t="str">
        <x:f>IF(D197="","",D197-$D$8)</x:f>
      </x:c>
      <x:c r="O197" s="46" t="str">
        <x:f>IF(D197="","",MAX(0,MIN(1,N197/Configuracion!$B$10)))</x:f>
      </x:c>
    </x:row>
    <x:row r="198">
      <x:c r="A198" s="34"/>
      <x:c r="B198" s="36"/>
      <x:c r="C198" s="72"/>
      <x:c r="D198" s="71"/>
      <x:c r="E198" s="41" t="str">
        <x:f>IF(D198="","",D198+273.15)</x:f>
      </x:c>
      <x:c r="F198" s="44" t="str">
        <x:f>IF(OR(C198="",D198="",C197=""),"",(C198-C197)/60)</x:f>
      </x:c>
      <x:c r="G198" s="44" t="str">
        <x:f>IF(D198="","",EXP(-Configuracion!$B$4/Configuracion!$B$5*(1/AVERAGE(E197:E198)-1/(Configuracion!$B$3+273.15))))</x:f>
      </x:c>
      <x:c r="H198" s="44" t="str">
        <x:f>IF(D198="","",F198*G198)</x:f>
      </x:c>
      <x:c r="I198" s="44" t="str">
        <x:f>IF(D198="","",I197+H198)</x:f>
      </x:c>
      <x:c r="J198" s="46" t="str">
        <x:f>IF(D198="","",MIN(1,I198/Configuracion!$B$11))</x:f>
      </x:c>
      <x:c r="K198" s="48" t="str">
        <x:f>IF(D198="","",MAX(0,(Configuracion!$B$11-I198)/G198))</x:f>
      </x:c>
      <x:c r="L198" s="73" t="str">
        <x:f>IF(D198="","",C198+K198*60)</x:f>
      </x:c>
      <x:c r="M198" t="str">
        <x:f>IF(D198="","",IF(J198&gt;=Configuracion!$B$13,"DESLIZAR",IF(J198&gt;=Configuracion!$B$12,"PREPARARSE","NO DESLIZAR")))</x:f>
      </x:c>
      <x:c r="N198" s="41" t="str">
        <x:f>IF(D198="","",D198-$D$8)</x:f>
      </x:c>
      <x:c r="O198" s="46" t="str">
        <x:f>IF(D198="","",MAX(0,MIN(1,N198/Configuracion!$B$10)))</x:f>
      </x:c>
    </x:row>
    <x:row r="199">
      <x:c r="A199" s="34"/>
      <x:c r="B199" s="36"/>
      <x:c r="C199" s="72"/>
      <x:c r="D199" s="71"/>
      <x:c r="E199" s="41" t="str">
        <x:f>IF(D199="","",D199+273.15)</x:f>
      </x:c>
      <x:c r="F199" s="44" t="str">
        <x:f>IF(OR(C199="",D199="",C198=""),"",(C199-C198)/60)</x:f>
      </x:c>
      <x:c r="G199" s="44" t="str">
        <x:f>IF(D199="","",EXP(-Configuracion!$B$4/Configuracion!$B$5*(1/AVERAGE(E198:E199)-1/(Configuracion!$B$3+273.15))))</x:f>
      </x:c>
      <x:c r="H199" s="44" t="str">
        <x:f>IF(D199="","",F199*G199)</x:f>
      </x:c>
      <x:c r="I199" s="44" t="str">
        <x:f>IF(D199="","",I198+H199)</x:f>
      </x:c>
      <x:c r="J199" s="46" t="str">
        <x:f>IF(D199="","",MIN(1,I199/Configuracion!$B$11))</x:f>
      </x:c>
      <x:c r="K199" s="48" t="str">
        <x:f>IF(D199="","",MAX(0,(Configuracion!$B$11-I199)/G199))</x:f>
      </x:c>
      <x:c r="L199" s="73" t="str">
        <x:f>IF(D199="","",C199+K199*60)</x:f>
      </x:c>
      <x:c r="M199" t="str">
        <x:f>IF(D199="","",IF(J199&gt;=Configuracion!$B$13,"DESLIZAR",IF(J199&gt;=Configuracion!$B$12,"PREPARARSE","NO DESLIZAR")))</x:f>
      </x:c>
      <x:c r="N199" s="41" t="str">
        <x:f>IF(D199="","",D199-$D$8)</x:f>
      </x:c>
      <x:c r="O199" s="46" t="str">
        <x:f>IF(D199="","",MAX(0,MIN(1,N199/Configuracion!$B$10)))</x:f>
      </x:c>
    </x:row>
    <x:row r="200">
      <x:c r="A200" s="34"/>
      <x:c r="B200" s="36"/>
      <x:c r="C200" s="72"/>
      <x:c r="D200" s="71"/>
      <x:c r="E200" s="41" t="str">
        <x:f>IF(D200="","",D200+273.15)</x:f>
      </x:c>
      <x:c r="F200" s="44" t="str">
        <x:f>IF(OR(C200="",D200="",C199=""),"",(C200-C199)/60)</x:f>
      </x:c>
      <x:c r="G200" s="44" t="str">
        <x:f>IF(D200="","",EXP(-Configuracion!$B$4/Configuracion!$B$5*(1/AVERAGE(E199:E200)-1/(Configuracion!$B$3+273.15))))</x:f>
      </x:c>
      <x:c r="H200" s="44" t="str">
        <x:f>IF(D200="","",F200*G200)</x:f>
      </x:c>
      <x:c r="I200" s="44" t="str">
        <x:f>IF(D200="","",I199+H200)</x:f>
      </x:c>
      <x:c r="J200" s="46" t="str">
        <x:f>IF(D200="","",MIN(1,I200/Configuracion!$B$11))</x:f>
      </x:c>
      <x:c r="K200" s="48" t="str">
        <x:f>IF(D200="","",MAX(0,(Configuracion!$B$11-I200)/G200))</x:f>
      </x:c>
      <x:c r="L200" s="73" t="str">
        <x:f>IF(D200="","",C200+K200*60)</x:f>
      </x:c>
      <x:c r="M200" t="str">
        <x:f>IF(D200="","",IF(J200&gt;=Configuracion!$B$13,"DESLIZAR",IF(J200&gt;=Configuracion!$B$12,"PREPARARSE","NO DESLIZAR")))</x:f>
      </x:c>
      <x:c r="N200" s="41" t="str">
        <x:f>IF(D200="","",D200-$D$8)</x:f>
      </x:c>
      <x:c r="O200" s="46" t="str">
        <x:f>IF(D200="","",MAX(0,MIN(1,N200/Configuracion!$B$10)))</x:f>
      </x:c>
    </x:row>
    <x:row r="201">
      <x:c r="A201" s="34"/>
      <x:c r="B201" s="36"/>
      <x:c r="C201" s="72"/>
      <x:c r="D201" s="71"/>
      <x:c r="E201" s="41" t="str">
        <x:f>IF(D201="","",D201+273.15)</x:f>
      </x:c>
      <x:c r="F201" s="44" t="str">
        <x:f>IF(OR(C201="",D201="",C200=""),"",(C201-C200)/60)</x:f>
      </x:c>
      <x:c r="G201" s="44" t="str">
        <x:f>IF(D201="","",EXP(-Configuracion!$B$4/Configuracion!$B$5*(1/AVERAGE(E200:E201)-1/(Configuracion!$B$3+273.15))))</x:f>
      </x:c>
      <x:c r="H201" s="44" t="str">
        <x:f>IF(D201="","",F201*G201)</x:f>
      </x:c>
      <x:c r="I201" s="44" t="str">
        <x:f>IF(D201="","",I200+H201)</x:f>
      </x:c>
      <x:c r="J201" s="46" t="str">
        <x:f>IF(D201="","",MIN(1,I201/Configuracion!$B$11))</x:f>
      </x:c>
      <x:c r="K201" s="48" t="str">
        <x:f>IF(D201="","",MAX(0,(Configuracion!$B$11-I201)/G201))</x:f>
      </x:c>
      <x:c r="L201" s="73" t="str">
        <x:f>IF(D201="","",C201+K201*60)</x:f>
      </x:c>
      <x:c r="M201" t="str">
        <x:f>IF(D201="","",IF(J201&gt;=Configuracion!$B$13,"DESLIZAR",IF(J201&gt;=Configuracion!$B$12,"PREPARARSE","NO DESLIZAR")))</x:f>
      </x:c>
      <x:c r="N201" s="41" t="str">
        <x:f>IF(D201="","",D201-$D$8)</x:f>
      </x:c>
      <x:c r="O201" s="46" t="str">
        <x:f>IF(D201="","",MAX(0,MIN(1,N201/Configuracion!$B$10)))</x:f>
      </x:c>
    </x:row>
    <x:row r="202">
      <x:c r="A202" s="34"/>
      <x:c r="B202" s="36"/>
      <x:c r="C202" s="72"/>
      <x:c r="D202" s="71"/>
      <x:c r="E202" s="41" t="str">
        <x:f>IF(D202="","",D202+273.15)</x:f>
      </x:c>
      <x:c r="F202" s="44" t="str">
        <x:f>IF(OR(C202="",D202="",C201=""),"",(C202-C201)/60)</x:f>
      </x:c>
      <x:c r="G202" s="44" t="str">
        <x:f>IF(D202="","",EXP(-Configuracion!$B$4/Configuracion!$B$5*(1/AVERAGE(E201:E202)-1/(Configuracion!$B$3+273.15))))</x:f>
      </x:c>
      <x:c r="H202" s="44" t="str">
        <x:f>IF(D202="","",F202*G202)</x:f>
      </x:c>
      <x:c r="I202" s="44" t="str">
        <x:f>IF(D202="","",I201+H202)</x:f>
      </x:c>
      <x:c r="J202" s="46" t="str">
        <x:f>IF(D202="","",MIN(1,I202/Configuracion!$B$11))</x:f>
      </x:c>
      <x:c r="K202" s="48" t="str">
        <x:f>IF(D202="","",MAX(0,(Configuracion!$B$11-I202)/G202))</x:f>
      </x:c>
      <x:c r="L202" s="73" t="str">
        <x:f>IF(D202="","",C202+K202*60)</x:f>
      </x:c>
      <x:c r="M202" t="str">
        <x:f>IF(D202="","",IF(J202&gt;=Configuracion!$B$13,"DESLIZAR",IF(J202&gt;=Configuracion!$B$12,"PREPARARSE","NO DESLIZAR")))</x:f>
      </x:c>
      <x:c r="N202" s="41" t="str">
        <x:f>IF(D202="","",D202-$D$8)</x:f>
      </x:c>
      <x:c r="O202" s="46" t="str">
        <x:f>IF(D202="","",MAX(0,MIN(1,N202/Configuracion!$B$10)))</x:f>
      </x:c>
    </x:row>
    <x:row r="203">
      <x:c r="A203" s="34"/>
      <x:c r="B203" s="36"/>
      <x:c r="C203" s="72"/>
      <x:c r="D203" s="71"/>
      <x:c r="E203" s="41" t="str">
        <x:f>IF(D203="","",D203+273.15)</x:f>
      </x:c>
      <x:c r="F203" s="44" t="str">
        <x:f>IF(OR(C203="",D203="",C202=""),"",(C203-C202)/60)</x:f>
      </x:c>
      <x:c r="G203" s="44" t="str">
        <x:f>IF(D203="","",EXP(-Configuracion!$B$4/Configuracion!$B$5*(1/AVERAGE(E202:E203)-1/(Configuracion!$B$3+273.15))))</x:f>
      </x:c>
      <x:c r="H203" s="44" t="str">
        <x:f>IF(D203="","",F203*G203)</x:f>
      </x:c>
      <x:c r="I203" s="44" t="str">
        <x:f>IF(D203="","",I202+H203)</x:f>
      </x:c>
      <x:c r="J203" s="46" t="str">
        <x:f>IF(D203="","",MIN(1,I203/Configuracion!$B$11))</x:f>
      </x:c>
      <x:c r="K203" s="48" t="str">
        <x:f>IF(D203="","",MAX(0,(Configuracion!$B$11-I203)/G203))</x:f>
      </x:c>
      <x:c r="L203" s="73" t="str">
        <x:f>IF(D203="","",C203+K203*60)</x:f>
      </x:c>
      <x:c r="M203" t="str">
        <x:f>IF(D203="","",IF(J203&gt;=Configuracion!$B$13,"DESLIZAR",IF(J203&gt;=Configuracion!$B$12,"PREPARARSE","NO DESLIZAR")))</x:f>
      </x:c>
      <x:c r="N203" s="41" t="str">
        <x:f>IF(D203="","",D203-$D$8)</x:f>
      </x:c>
      <x:c r="O203" s="46" t="str">
        <x:f>IF(D203="","",MAX(0,MIN(1,N203/Configuracion!$B$10)))</x:f>
      </x:c>
    </x:row>
    <x:row r="204">
      <x:c r="A204" s="34"/>
      <x:c r="B204" s="36"/>
      <x:c r="C204" s="72"/>
      <x:c r="D204" s="71"/>
      <x:c r="E204" s="41" t="str">
        <x:f>IF(D204="","",D204+273.15)</x:f>
      </x:c>
      <x:c r="F204" s="44" t="str">
        <x:f>IF(OR(C204="",D204="",C203=""),"",(C204-C203)/60)</x:f>
      </x:c>
      <x:c r="G204" s="44" t="str">
        <x:f>IF(D204="","",EXP(-Configuracion!$B$4/Configuracion!$B$5*(1/AVERAGE(E203:E204)-1/(Configuracion!$B$3+273.15))))</x:f>
      </x:c>
      <x:c r="H204" s="44" t="str">
        <x:f>IF(D204="","",F204*G204)</x:f>
      </x:c>
      <x:c r="I204" s="44" t="str">
        <x:f>IF(D204="","",I203+H204)</x:f>
      </x:c>
      <x:c r="J204" s="46" t="str">
        <x:f>IF(D204="","",MIN(1,I204/Configuracion!$B$11))</x:f>
      </x:c>
      <x:c r="K204" s="48" t="str">
        <x:f>IF(D204="","",MAX(0,(Configuracion!$B$11-I204)/G204))</x:f>
      </x:c>
      <x:c r="L204" s="73" t="str">
        <x:f>IF(D204="","",C204+K204*60)</x:f>
      </x:c>
      <x:c r="M204" t="str">
        <x:f>IF(D204="","",IF(J204&gt;=Configuracion!$B$13,"DESLIZAR",IF(J204&gt;=Configuracion!$B$12,"PREPARARSE","NO DESLIZAR")))</x:f>
      </x:c>
      <x:c r="N204" s="41" t="str">
        <x:f>IF(D204="","",D204-$D$8)</x:f>
      </x:c>
      <x:c r="O204" s="46" t="str">
        <x:f>IF(D204="","",MAX(0,MIN(1,N204/Configuracion!$B$10)))</x:f>
      </x:c>
    </x:row>
    <x:row r="205">
      <x:c r="A205" s="34"/>
      <x:c r="B205" s="36"/>
      <x:c r="C205" s="72"/>
      <x:c r="D205" s="71"/>
      <x:c r="E205" s="41" t="str">
        <x:f>IF(D205="","",D205+273.15)</x:f>
      </x:c>
      <x:c r="F205" s="44" t="str">
        <x:f>IF(OR(C205="",D205="",C204=""),"",(C205-C204)/60)</x:f>
      </x:c>
      <x:c r="G205" s="44" t="str">
        <x:f>IF(D205="","",EXP(-Configuracion!$B$4/Configuracion!$B$5*(1/AVERAGE(E204:E205)-1/(Configuracion!$B$3+273.15))))</x:f>
      </x:c>
      <x:c r="H205" s="44" t="str">
        <x:f>IF(D205="","",F205*G205)</x:f>
      </x:c>
      <x:c r="I205" s="44" t="str">
        <x:f>IF(D205="","",I204+H205)</x:f>
      </x:c>
      <x:c r="J205" s="46" t="str">
        <x:f>IF(D205="","",MIN(1,I205/Configuracion!$B$11))</x:f>
      </x:c>
      <x:c r="K205" s="48" t="str">
        <x:f>IF(D205="","",MAX(0,(Configuracion!$B$11-I205)/G205))</x:f>
      </x:c>
      <x:c r="L205" s="73" t="str">
        <x:f>IF(D205="","",C205+K205*60)</x:f>
      </x:c>
      <x:c r="M205" t="str">
        <x:f>IF(D205="","",IF(J205&gt;=Configuracion!$B$13,"DESLIZAR",IF(J205&gt;=Configuracion!$B$12,"PREPARARSE","NO DESLIZAR")))</x:f>
      </x:c>
      <x:c r="N205" s="41" t="str">
        <x:f>IF(D205="","",D205-$D$8)</x:f>
      </x:c>
      <x:c r="O205" s="46" t="str">
        <x:f>IF(D205="","",MAX(0,MIN(1,N205/Configuracion!$B$10)))</x:f>
      </x:c>
    </x:row>
    <x:row r="206">
      <x:c r="A206" s="34"/>
      <x:c r="B206" s="36"/>
      <x:c r="C206" s="72"/>
      <x:c r="D206" s="71"/>
      <x:c r="E206" s="41" t="str">
        <x:f>IF(D206="","",D206+273.15)</x:f>
      </x:c>
      <x:c r="F206" s="44" t="str">
        <x:f>IF(OR(C206="",D206="",C205=""),"",(C206-C205)/60)</x:f>
      </x:c>
      <x:c r="G206" s="44" t="str">
        <x:f>IF(D206="","",EXP(-Configuracion!$B$4/Configuracion!$B$5*(1/AVERAGE(E205:E206)-1/(Configuracion!$B$3+273.15))))</x:f>
      </x:c>
      <x:c r="H206" s="44" t="str">
        <x:f>IF(D206="","",F206*G206)</x:f>
      </x:c>
      <x:c r="I206" s="44" t="str">
        <x:f>IF(D206="","",I205+H206)</x:f>
      </x:c>
      <x:c r="J206" s="46" t="str">
        <x:f>IF(D206="","",MIN(1,I206/Configuracion!$B$11))</x:f>
      </x:c>
      <x:c r="K206" s="48" t="str">
        <x:f>IF(D206="","",MAX(0,(Configuracion!$B$11-I206)/G206))</x:f>
      </x:c>
      <x:c r="L206" s="73" t="str">
        <x:f>IF(D206="","",C206+K206*60)</x:f>
      </x:c>
      <x:c r="M206" t="str">
        <x:f>IF(D206="","",IF(J206&gt;=Configuracion!$B$13,"DESLIZAR",IF(J206&gt;=Configuracion!$B$12,"PREPARARSE","NO DESLIZAR")))</x:f>
      </x:c>
      <x:c r="N206" s="41" t="str">
        <x:f>IF(D206="","",D206-$D$8)</x:f>
      </x:c>
      <x:c r="O206" s="46" t="str">
        <x:f>IF(D206="","",MAX(0,MIN(1,N206/Configuracion!$B$10)))</x:f>
      </x:c>
    </x:row>
    <x:row r="207">
      <x:c r="A207" s="34"/>
      <x:c r="B207" s="36"/>
      <x:c r="C207" s="72"/>
      <x:c r="D207" s="71"/>
      <x:c r="E207" s="41" t="str">
        <x:f>IF(D207="","",D207+273.15)</x:f>
      </x:c>
      <x:c r="F207" s="44" t="str">
        <x:f>IF(OR(C207="",D207="",C206=""),"",(C207-C206)/60)</x:f>
      </x:c>
      <x:c r="G207" s="44" t="str">
        <x:f>IF(D207="","",EXP(-Configuracion!$B$4/Configuracion!$B$5*(1/AVERAGE(E206:E207)-1/(Configuracion!$B$3+273.15))))</x:f>
      </x:c>
      <x:c r="H207" s="44" t="str">
        <x:f>IF(D207="","",F207*G207)</x:f>
      </x:c>
      <x:c r="I207" s="44" t="str">
        <x:f>IF(D207="","",I206+H207)</x:f>
      </x:c>
      <x:c r="J207" s="46" t="str">
        <x:f>IF(D207="","",MIN(1,I207/Configuracion!$B$11))</x:f>
      </x:c>
      <x:c r="K207" s="48" t="str">
        <x:f>IF(D207="","",MAX(0,(Configuracion!$B$11-I207)/G207))</x:f>
      </x:c>
      <x:c r="L207" s="73" t="str">
        <x:f>IF(D207="","",C207+K207*60)</x:f>
      </x:c>
      <x:c r="M207" t="str">
        <x:f>IF(D207="","",IF(J207&gt;=Configuracion!$B$13,"DESLIZAR",IF(J207&gt;=Configuracion!$B$12,"PREPARARSE","NO DESLIZAR")))</x:f>
      </x:c>
      <x:c r="N207" s="41" t="str">
        <x:f>IF(D207="","",D207-$D$8)</x:f>
      </x:c>
      <x:c r="O207" s="46" t="str">
        <x:f>IF(D207="","",MAX(0,MIN(1,N207/Configuracion!$B$10)))</x:f>
      </x:c>
    </x:row>
    <x:row r="208">
      <x:c r="A208" s="34"/>
      <x:c r="B208" s="36"/>
      <x:c r="C208" s="72"/>
      <x:c r="D208" s="71"/>
      <x:c r="E208" s="41" t="str">
        <x:f>IF(D208="","",D208+273.15)</x:f>
      </x:c>
      <x:c r="F208" s="44" t="str">
        <x:f>IF(OR(C208="",D208="",C207=""),"",(C208-C207)/60)</x:f>
      </x:c>
      <x:c r="G208" s="44" t="str">
        <x:f>IF(D208="","",EXP(-Configuracion!$B$4/Configuracion!$B$5*(1/AVERAGE(E207:E208)-1/(Configuracion!$B$3+273.15))))</x:f>
      </x:c>
      <x:c r="H208" s="44" t="str">
        <x:f>IF(D208="","",F208*G208)</x:f>
      </x:c>
      <x:c r="I208" s="44" t="str">
        <x:f>IF(D208="","",I207+H208)</x:f>
      </x:c>
      <x:c r="J208" s="46" t="str">
        <x:f>IF(D208="","",MIN(1,I208/Configuracion!$B$11))</x:f>
      </x:c>
      <x:c r="K208" s="48" t="str">
        <x:f>IF(D208="","",MAX(0,(Configuracion!$B$11-I208)/G208))</x:f>
      </x:c>
      <x:c r="L208" s="73" t="str">
        <x:f>IF(D208="","",C208+K208*60)</x:f>
      </x:c>
      <x:c r="M208" t="str">
        <x:f>IF(D208="","",IF(J208&gt;=Configuracion!$B$13,"DESLIZAR",IF(J208&gt;=Configuracion!$B$12,"PREPARARSE","NO DESLIZAR")))</x:f>
      </x:c>
      <x:c r="N208" s="41" t="str">
        <x:f>IF(D208="","",D208-$D$8)</x:f>
      </x:c>
      <x:c r="O208" s="46" t="str">
        <x:f>IF(D208="","",MAX(0,MIN(1,N208/Configuracion!$B$10)))</x:f>
      </x:c>
    </x:row>
    <x:row r="209">
      <x:c r="A209" s="34"/>
      <x:c r="B209" s="36"/>
      <x:c r="C209" s="72"/>
      <x:c r="D209" s="71"/>
      <x:c r="E209" s="41" t="str">
        <x:f>IF(D209="","",D209+273.15)</x:f>
      </x:c>
      <x:c r="F209" s="44" t="str">
        <x:f>IF(OR(C209="",D209="",C208=""),"",(C209-C208)/60)</x:f>
      </x:c>
      <x:c r="G209" s="44" t="str">
        <x:f>IF(D209="","",EXP(-Configuracion!$B$4/Configuracion!$B$5*(1/AVERAGE(E208:E209)-1/(Configuracion!$B$3+273.15))))</x:f>
      </x:c>
      <x:c r="H209" s="44" t="str">
        <x:f>IF(D209="","",F209*G209)</x:f>
      </x:c>
      <x:c r="I209" s="44" t="str">
        <x:f>IF(D209="","",I208+H209)</x:f>
      </x:c>
      <x:c r="J209" s="46" t="str">
        <x:f>IF(D209="","",MIN(1,I209/Configuracion!$B$11))</x:f>
      </x:c>
      <x:c r="K209" s="48" t="str">
        <x:f>IF(D209="","",MAX(0,(Configuracion!$B$11-I209)/G209))</x:f>
      </x:c>
      <x:c r="L209" s="73" t="str">
        <x:f>IF(D209="","",C209+K209*60)</x:f>
      </x:c>
      <x:c r="M209" t="str">
        <x:f>IF(D209="","",IF(J209&gt;=Configuracion!$B$13,"DESLIZAR",IF(J209&gt;=Configuracion!$B$12,"PREPARARSE","NO DESLIZAR")))</x:f>
      </x:c>
      <x:c r="N209" s="41" t="str">
        <x:f>IF(D209="","",D209-$D$8)</x:f>
      </x:c>
      <x:c r="O209" s="46" t="str">
        <x:f>IF(D209="","",MAX(0,MIN(1,N209/Configuracion!$B$10)))</x:f>
      </x:c>
    </x:row>
    <x:row r="210">
      <x:c r="A210" s="34"/>
      <x:c r="B210" s="36"/>
      <x:c r="C210" s="72"/>
      <x:c r="D210" s="71"/>
      <x:c r="E210" s="41" t="str">
        <x:f>IF(D210="","",D210+273.15)</x:f>
      </x:c>
      <x:c r="F210" s="44" t="str">
        <x:f>IF(OR(C210="",D210="",C209=""),"",(C210-C209)/60)</x:f>
      </x:c>
      <x:c r="G210" s="44" t="str">
        <x:f>IF(D210="","",EXP(-Configuracion!$B$4/Configuracion!$B$5*(1/AVERAGE(E209:E210)-1/(Configuracion!$B$3+273.15))))</x:f>
      </x:c>
      <x:c r="H210" s="44" t="str">
        <x:f>IF(D210="","",F210*G210)</x:f>
      </x:c>
      <x:c r="I210" s="44" t="str">
        <x:f>IF(D210="","",I209+H210)</x:f>
      </x:c>
      <x:c r="J210" s="46" t="str">
        <x:f>IF(D210="","",MIN(1,I210/Configuracion!$B$11))</x:f>
      </x:c>
      <x:c r="K210" s="48" t="str">
        <x:f>IF(D210="","",MAX(0,(Configuracion!$B$11-I210)/G210))</x:f>
      </x:c>
      <x:c r="L210" s="73" t="str">
        <x:f>IF(D210="","",C210+K210*60)</x:f>
      </x:c>
      <x:c r="M210" t="str">
        <x:f>IF(D210="","",IF(J210&gt;=Configuracion!$B$13,"DESLIZAR",IF(J210&gt;=Configuracion!$B$12,"PREPARARSE","NO DESLIZAR")))</x:f>
      </x:c>
      <x:c r="N210" s="41" t="str">
        <x:f>IF(D210="","",D210-$D$8)</x:f>
      </x:c>
      <x:c r="O210" s="46" t="str">
        <x:f>IF(D210="","",MAX(0,MIN(1,N210/Configuracion!$B$10)))</x:f>
      </x:c>
    </x:row>
    <x:row r="211">
      <x:c r="A211" s="34"/>
      <x:c r="B211" s="36"/>
      <x:c r="C211" s="72"/>
      <x:c r="D211" s="71"/>
      <x:c r="E211" s="41" t="str">
        <x:f>IF(D211="","",D211+273.15)</x:f>
      </x:c>
      <x:c r="F211" s="44" t="str">
        <x:f>IF(OR(C211="",D211="",C210=""),"",(C211-C210)/60)</x:f>
      </x:c>
      <x:c r="G211" s="44" t="str">
        <x:f>IF(D211="","",EXP(-Configuracion!$B$4/Configuracion!$B$5*(1/AVERAGE(E210:E211)-1/(Configuracion!$B$3+273.15))))</x:f>
      </x:c>
      <x:c r="H211" s="44" t="str">
        <x:f>IF(D211="","",F211*G211)</x:f>
      </x:c>
      <x:c r="I211" s="44" t="str">
        <x:f>IF(D211="","",I210+H211)</x:f>
      </x:c>
      <x:c r="J211" s="46" t="str">
        <x:f>IF(D211="","",MIN(1,I211/Configuracion!$B$11))</x:f>
      </x:c>
      <x:c r="K211" s="48" t="str">
        <x:f>IF(D211="","",MAX(0,(Configuracion!$B$11-I211)/G211))</x:f>
      </x:c>
      <x:c r="L211" s="73" t="str">
        <x:f>IF(D211="","",C211+K211*60)</x:f>
      </x:c>
      <x:c r="M211" t="str">
        <x:f>IF(D211="","",IF(J211&gt;=Configuracion!$B$13,"DESLIZAR",IF(J211&gt;=Configuracion!$B$12,"PREPARARSE","NO DESLIZAR")))</x:f>
      </x:c>
      <x:c r="N211" s="41" t="str">
        <x:f>IF(D211="","",D211-$D$8)</x:f>
      </x:c>
      <x:c r="O211" s="46" t="str">
        <x:f>IF(D211="","",MAX(0,MIN(1,N211/Configuracion!$B$10)))</x:f>
      </x:c>
    </x:row>
    <x:row r="212">
      <x:c r="A212" s="34"/>
      <x:c r="B212" s="36"/>
      <x:c r="C212" s="72"/>
      <x:c r="D212" s="71"/>
      <x:c r="E212" s="41" t="str">
        <x:f>IF(D212="","",D212+273.15)</x:f>
      </x:c>
      <x:c r="F212" s="44" t="str">
        <x:f>IF(OR(C212="",D212="",C211=""),"",(C212-C211)/60)</x:f>
      </x:c>
      <x:c r="G212" s="44" t="str">
        <x:f>IF(D212="","",EXP(-Configuracion!$B$4/Configuracion!$B$5*(1/AVERAGE(E211:E212)-1/(Configuracion!$B$3+273.15))))</x:f>
      </x:c>
      <x:c r="H212" s="44" t="str">
        <x:f>IF(D212="","",F212*G212)</x:f>
      </x:c>
      <x:c r="I212" s="44" t="str">
        <x:f>IF(D212="","",I211+H212)</x:f>
      </x:c>
      <x:c r="J212" s="46" t="str">
        <x:f>IF(D212="","",MIN(1,I212/Configuracion!$B$11))</x:f>
      </x:c>
      <x:c r="K212" s="48" t="str">
        <x:f>IF(D212="","",MAX(0,(Configuracion!$B$11-I212)/G212))</x:f>
      </x:c>
      <x:c r="L212" s="73" t="str">
        <x:f>IF(D212="","",C212+K212*60)</x:f>
      </x:c>
      <x:c r="M212" t="str">
        <x:f>IF(D212="","",IF(J212&gt;=Configuracion!$B$13,"DESLIZAR",IF(J212&gt;=Configuracion!$B$12,"PREPARARSE","NO DESLIZAR")))</x:f>
      </x:c>
      <x:c r="N212" s="41" t="str">
        <x:f>IF(D212="","",D212-$D$8)</x:f>
      </x:c>
      <x:c r="O212" s="46" t="str">
        <x:f>IF(D212="","",MAX(0,MIN(1,N212/Configuracion!$B$10)))</x:f>
      </x:c>
    </x:row>
    <x:row r="213">
      <x:c r="A213" s="34"/>
      <x:c r="B213" s="36"/>
      <x:c r="C213" s="72"/>
      <x:c r="D213" s="71"/>
      <x:c r="E213" s="41" t="str">
        <x:f>IF(D213="","",D213+273.15)</x:f>
      </x:c>
      <x:c r="F213" s="44" t="str">
        <x:f>IF(OR(C213="",D213="",C212=""),"",(C213-C212)/60)</x:f>
      </x:c>
      <x:c r="G213" s="44" t="str">
        <x:f>IF(D213="","",EXP(-Configuracion!$B$4/Configuracion!$B$5*(1/AVERAGE(E212:E213)-1/(Configuracion!$B$3+273.15))))</x:f>
      </x:c>
      <x:c r="H213" s="44" t="str">
        <x:f>IF(D213="","",F213*G213)</x:f>
      </x:c>
      <x:c r="I213" s="44" t="str">
        <x:f>IF(D213="","",I212+H213)</x:f>
      </x:c>
      <x:c r="J213" s="46" t="str">
        <x:f>IF(D213="","",MIN(1,I213/Configuracion!$B$11))</x:f>
      </x:c>
      <x:c r="K213" s="48" t="str">
        <x:f>IF(D213="","",MAX(0,(Configuracion!$B$11-I213)/G213))</x:f>
      </x:c>
      <x:c r="L213" s="73" t="str">
        <x:f>IF(D213="","",C213+K213*60)</x:f>
      </x:c>
      <x:c r="M213" t="str">
        <x:f>IF(D213="","",IF(J213&gt;=Configuracion!$B$13,"DESLIZAR",IF(J213&gt;=Configuracion!$B$12,"PREPARARSE","NO DESLIZAR")))</x:f>
      </x:c>
      <x:c r="N213" s="41" t="str">
        <x:f>IF(D213="","",D213-$D$8)</x:f>
      </x:c>
      <x:c r="O213" s="46" t="str">
        <x:f>IF(D213="","",MAX(0,MIN(1,N213/Configuracion!$B$10)))</x:f>
      </x:c>
    </x:row>
    <x:row r="214">
      <x:c r="A214" s="34"/>
      <x:c r="B214" s="36"/>
      <x:c r="C214" s="72"/>
      <x:c r="D214" s="71"/>
      <x:c r="E214" s="41" t="str">
        <x:f>IF(D214="","",D214+273.15)</x:f>
      </x:c>
      <x:c r="F214" s="44" t="str">
        <x:f>IF(OR(C214="",D214="",C213=""),"",(C214-C213)/60)</x:f>
      </x:c>
      <x:c r="G214" s="44" t="str">
        <x:f>IF(D214="","",EXP(-Configuracion!$B$4/Configuracion!$B$5*(1/AVERAGE(E213:E214)-1/(Configuracion!$B$3+273.15))))</x:f>
      </x:c>
      <x:c r="H214" s="44" t="str">
        <x:f>IF(D214="","",F214*G214)</x:f>
      </x:c>
      <x:c r="I214" s="44" t="str">
        <x:f>IF(D214="","",I213+H214)</x:f>
      </x:c>
      <x:c r="J214" s="46" t="str">
        <x:f>IF(D214="","",MIN(1,I214/Configuracion!$B$11))</x:f>
      </x:c>
      <x:c r="K214" s="48" t="str">
        <x:f>IF(D214="","",MAX(0,(Configuracion!$B$11-I214)/G214))</x:f>
      </x:c>
      <x:c r="L214" s="73" t="str">
        <x:f>IF(D214="","",C214+K214*60)</x:f>
      </x:c>
      <x:c r="M214" t="str">
        <x:f>IF(D214="","",IF(J214&gt;=Configuracion!$B$13,"DESLIZAR",IF(J214&gt;=Configuracion!$B$12,"PREPARARSE","NO DESLIZAR")))</x:f>
      </x:c>
      <x:c r="N214" s="41" t="str">
        <x:f>IF(D214="","",D214-$D$8)</x:f>
      </x:c>
      <x:c r="O214" s="46" t="str">
        <x:f>IF(D214="","",MAX(0,MIN(1,N214/Configuracion!$B$10)))</x:f>
      </x:c>
    </x:row>
    <x:row r="215">
      <x:c r="A215" s="34"/>
      <x:c r="B215" s="36"/>
      <x:c r="C215" s="72"/>
      <x:c r="D215" s="71"/>
      <x:c r="E215" s="41" t="str">
        <x:f>IF(D215="","",D215+273.15)</x:f>
      </x:c>
      <x:c r="F215" s="44" t="str">
        <x:f>IF(OR(C215="",D215="",C214=""),"",(C215-C214)/60)</x:f>
      </x:c>
      <x:c r="G215" s="44" t="str">
        <x:f>IF(D215="","",EXP(-Configuracion!$B$4/Configuracion!$B$5*(1/AVERAGE(E214:E215)-1/(Configuracion!$B$3+273.15))))</x:f>
      </x:c>
      <x:c r="H215" s="44" t="str">
        <x:f>IF(D215="","",F215*G215)</x:f>
      </x:c>
      <x:c r="I215" s="44" t="str">
        <x:f>IF(D215="","",I214+H215)</x:f>
      </x:c>
      <x:c r="J215" s="46" t="str">
        <x:f>IF(D215="","",MIN(1,I215/Configuracion!$B$11))</x:f>
      </x:c>
      <x:c r="K215" s="48" t="str">
        <x:f>IF(D215="","",MAX(0,(Configuracion!$B$11-I215)/G215))</x:f>
      </x:c>
      <x:c r="L215" s="73" t="str">
        <x:f>IF(D215="","",C215+K215*60)</x:f>
      </x:c>
      <x:c r="M215" t="str">
        <x:f>IF(D215="","",IF(J215&gt;=Configuracion!$B$13,"DESLIZAR",IF(J215&gt;=Configuracion!$B$12,"PREPARARSE","NO DESLIZAR")))</x:f>
      </x:c>
      <x:c r="N215" s="41" t="str">
        <x:f>IF(D215="","",D215-$D$8)</x:f>
      </x:c>
      <x:c r="O215" s="46" t="str">
        <x:f>IF(D215="","",MAX(0,MIN(1,N215/Configuracion!$B$10)))</x:f>
      </x:c>
    </x:row>
    <x:row r="216">
      <x:c r="A216" s="34"/>
      <x:c r="B216" s="36"/>
      <x:c r="C216" s="72"/>
      <x:c r="D216" s="71"/>
      <x:c r="E216" s="41" t="str">
        <x:f>IF(D216="","",D216+273.15)</x:f>
      </x:c>
      <x:c r="F216" s="44" t="str">
        <x:f>IF(OR(C216="",D216="",C215=""),"",(C216-C215)/60)</x:f>
      </x:c>
      <x:c r="G216" s="44" t="str">
        <x:f>IF(D216="","",EXP(-Configuracion!$B$4/Configuracion!$B$5*(1/AVERAGE(E215:E216)-1/(Configuracion!$B$3+273.15))))</x:f>
      </x:c>
      <x:c r="H216" s="44" t="str">
        <x:f>IF(D216="","",F216*G216)</x:f>
      </x:c>
      <x:c r="I216" s="44" t="str">
        <x:f>IF(D216="","",I215+H216)</x:f>
      </x:c>
      <x:c r="J216" s="46" t="str">
        <x:f>IF(D216="","",MIN(1,I216/Configuracion!$B$11))</x:f>
      </x:c>
      <x:c r="K216" s="48" t="str">
        <x:f>IF(D216="","",MAX(0,(Configuracion!$B$11-I216)/G216))</x:f>
      </x:c>
      <x:c r="L216" s="73" t="str">
        <x:f>IF(D216="","",C216+K216*60)</x:f>
      </x:c>
      <x:c r="M216" t="str">
        <x:f>IF(D216="","",IF(J216&gt;=Configuracion!$B$13,"DESLIZAR",IF(J216&gt;=Configuracion!$B$12,"PREPARARSE","NO DESLIZAR")))</x:f>
      </x:c>
      <x:c r="N216" s="41" t="str">
        <x:f>IF(D216="","",D216-$D$8)</x:f>
      </x:c>
      <x:c r="O216" s="46" t="str">
        <x:f>IF(D216="","",MAX(0,MIN(1,N216/Configuracion!$B$10)))</x:f>
      </x:c>
    </x:row>
    <x:row r="217">
      <x:c r="A217" s="34"/>
      <x:c r="B217" s="36"/>
      <x:c r="C217" s="72"/>
      <x:c r="D217" s="71"/>
      <x:c r="E217" s="41" t="str">
        <x:f>IF(D217="","",D217+273.15)</x:f>
      </x:c>
      <x:c r="F217" s="44" t="str">
        <x:f>IF(OR(C217="",D217="",C216=""),"",(C217-C216)/60)</x:f>
      </x:c>
      <x:c r="G217" s="44" t="str">
        <x:f>IF(D217="","",EXP(-Configuracion!$B$4/Configuracion!$B$5*(1/AVERAGE(E216:E217)-1/(Configuracion!$B$3+273.15))))</x:f>
      </x:c>
      <x:c r="H217" s="44" t="str">
        <x:f>IF(D217="","",F217*G217)</x:f>
      </x:c>
      <x:c r="I217" s="44" t="str">
        <x:f>IF(D217="","",I216+H217)</x:f>
      </x:c>
      <x:c r="J217" s="46" t="str">
        <x:f>IF(D217="","",MIN(1,I217/Configuracion!$B$11))</x:f>
      </x:c>
      <x:c r="K217" s="48" t="str">
        <x:f>IF(D217="","",MAX(0,(Configuracion!$B$11-I217)/G217))</x:f>
      </x:c>
      <x:c r="L217" s="73" t="str">
        <x:f>IF(D217="","",C217+K217*60)</x:f>
      </x:c>
      <x:c r="M217" t="str">
        <x:f>IF(D217="","",IF(J217&gt;=Configuracion!$B$13,"DESLIZAR",IF(J217&gt;=Configuracion!$B$12,"PREPARARSE","NO DESLIZAR")))</x:f>
      </x:c>
      <x:c r="N217" s="41" t="str">
        <x:f>IF(D217="","",D217-$D$8)</x:f>
      </x:c>
      <x:c r="O217" s="46" t="str">
        <x:f>IF(D217="","",MAX(0,MIN(1,N217/Configuracion!$B$10)))</x:f>
      </x:c>
    </x:row>
    <x:row r="218">
      <x:c r="A218" s="34"/>
      <x:c r="B218" s="36"/>
      <x:c r="C218" s="72"/>
      <x:c r="D218" s="71"/>
      <x:c r="E218" s="41" t="str">
        <x:f>IF(D218="","",D218+273.15)</x:f>
      </x:c>
      <x:c r="F218" s="44" t="str">
        <x:f>IF(OR(C218="",D218="",C217=""),"",(C218-C217)/60)</x:f>
      </x:c>
      <x:c r="G218" s="44" t="str">
        <x:f>IF(D218="","",EXP(-Configuracion!$B$4/Configuracion!$B$5*(1/AVERAGE(E217:E218)-1/(Configuracion!$B$3+273.15))))</x:f>
      </x:c>
      <x:c r="H218" s="44" t="str">
        <x:f>IF(D218="","",F218*G218)</x:f>
      </x:c>
      <x:c r="I218" s="44" t="str">
        <x:f>IF(D218="","",I217+H218)</x:f>
      </x:c>
      <x:c r="J218" s="46" t="str">
        <x:f>IF(D218="","",MIN(1,I218/Configuracion!$B$11))</x:f>
      </x:c>
      <x:c r="K218" s="48" t="str">
        <x:f>IF(D218="","",MAX(0,(Configuracion!$B$11-I218)/G218))</x:f>
      </x:c>
      <x:c r="L218" s="73" t="str">
        <x:f>IF(D218="","",C218+K218*60)</x:f>
      </x:c>
      <x:c r="M218" t="str">
        <x:f>IF(D218="","",IF(J218&gt;=Configuracion!$B$13,"DESLIZAR",IF(J218&gt;=Configuracion!$B$12,"PREPARARSE","NO DESLIZAR")))</x:f>
      </x:c>
      <x:c r="N218" s="41" t="str">
        <x:f>IF(D218="","",D218-$D$8)</x:f>
      </x:c>
      <x:c r="O218" s="46" t="str">
        <x:f>IF(D218="","",MAX(0,MIN(1,N218/Configuracion!$B$10)))</x:f>
      </x:c>
    </x:row>
    <x:row r="219">
      <x:c r="A219" s="34"/>
      <x:c r="B219" s="36"/>
      <x:c r="C219" s="72"/>
      <x:c r="D219" s="71"/>
      <x:c r="E219" s="41" t="str">
        <x:f>IF(D219="","",D219+273.15)</x:f>
      </x:c>
      <x:c r="F219" s="44" t="str">
        <x:f>IF(OR(C219="",D219="",C218=""),"",(C219-C218)/60)</x:f>
      </x:c>
      <x:c r="G219" s="44" t="str">
        <x:f>IF(D219="","",EXP(-Configuracion!$B$4/Configuracion!$B$5*(1/AVERAGE(E218:E219)-1/(Configuracion!$B$3+273.15))))</x:f>
      </x:c>
      <x:c r="H219" s="44" t="str">
        <x:f>IF(D219="","",F219*G219)</x:f>
      </x:c>
      <x:c r="I219" s="44" t="str">
        <x:f>IF(D219="","",I218+H219)</x:f>
      </x:c>
      <x:c r="J219" s="46" t="str">
        <x:f>IF(D219="","",MIN(1,I219/Configuracion!$B$11))</x:f>
      </x:c>
      <x:c r="K219" s="48" t="str">
        <x:f>IF(D219="","",MAX(0,(Configuracion!$B$11-I219)/G219))</x:f>
      </x:c>
      <x:c r="L219" s="73" t="str">
        <x:f>IF(D219="","",C219+K219*60)</x:f>
      </x:c>
      <x:c r="M219" t="str">
        <x:f>IF(D219="","",IF(J219&gt;=Configuracion!$B$13,"DESLIZAR",IF(J219&gt;=Configuracion!$B$12,"PREPARARSE","NO DESLIZAR")))</x:f>
      </x:c>
      <x:c r="N219" s="41" t="str">
        <x:f>IF(D219="","",D219-$D$8)</x:f>
      </x:c>
      <x:c r="O219" s="46" t="str">
        <x:f>IF(D219="","",MAX(0,MIN(1,N219/Configuracion!$B$10)))</x:f>
      </x:c>
    </x:row>
    <x:row r="220">
      <x:c r="A220" s="34"/>
      <x:c r="B220" s="36"/>
      <x:c r="C220" s="72"/>
      <x:c r="D220" s="71"/>
      <x:c r="E220" s="41" t="str">
        <x:f>IF(D220="","",D220+273.15)</x:f>
      </x:c>
      <x:c r="F220" s="44" t="str">
        <x:f>IF(OR(C220="",D220="",C219=""),"",(C220-C219)/60)</x:f>
      </x:c>
      <x:c r="G220" s="44" t="str">
        <x:f>IF(D220="","",EXP(-Configuracion!$B$4/Configuracion!$B$5*(1/AVERAGE(E219:E220)-1/(Configuracion!$B$3+273.15))))</x:f>
      </x:c>
      <x:c r="H220" s="44" t="str">
        <x:f>IF(D220="","",F220*G220)</x:f>
      </x:c>
      <x:c r="I220" s="44" t="str">
        <x:f>IF(D220="","",I219+H220)</x:f>
      </x:c>
      <x:c r="J220" s="46" t="str">
        <x:f>IF(D220="","",MIN(1,I220/Configuracion!$B$11))</x:f>
      </x:c>
      <x:c r="K220" s="48" t="str">
        <x:f>IF(D220="","",MAX(0,(Configuracion!$B$11-I220)/G220))</x:f>
      </x:c>
      <x:c r="L220" s="73" t="str">
        <x:f>IF(D220="","",C220+K220*60)</x:f>
      </x:c>
      <x:c r="M220" t="str">
        <x:f>IF(D220="","",IF(J220&gt;=Configuracion!$B$13,"DESLIZAR",IF(J220&gt;=Configuracion!$B$12,"PREPARARSE","NO DESLIZAR")))</x:f>
      </x:c>
      <x:c r="N220" s="41" t="str">
        <x:f>IF(D220="","",D220-$D$8)</x:f>
      </x:c>
      <x:c r="O220" s="46" t="str">
        <x:f>IF(D220="","",MAX(0,MIN(1,N220/Configuracion!$B$10)))</x:f>
      </x:c>
    </x:row>
    <x:row r="221">
      <x:c r="A221" s="34"/>
      <x:c r="B221" s="36"/>
      <x:c r="C221" s="72"/>
      <x:c r="D221" s="71"/>
      <x:c r="E221" s="41" t="str">
        <x:f>IF(D221="","",D221+273.15)</x:f>
      </x:c>
      <x:c r="F221" s="44" t="str">
        <x:f>IF(OR(C221="",D221="",C220=""),"",(C221-C220)/60)</x:f>
      </x:c>
      <x:c r="G221" s="44" t="str">
        <x:f>IF(D221="","",EXP(-Configuracion!$B$4/Configuracion!$B$5*(1/AVERAGE(E220:E221)-1/(Configuracion!$B$3+273.15))))</x:f>
      </x:c>
      <x:c r="H221" s="44" t="str">
        <x:f>IF(D221="","",F221*G221)</x:f>
      </x:c>
      <x:c r="I221" s="44" t="str">
        <x:f>IF(D221="","",I220+H221)</x:f>
      </x:c>
      <x:c r="J221" s="46" t="str">
        <x:f>IF(D221="","",MIN(1,I221/Configuracion!$B$11))</x:f>
      </x:c>
      <x:c r="K221" s="48" t="str">
        <x:f>IF(D221="","",MAX(0,(Configuracion!$B$11-I221)/G221))</x:f>
      </x:c>
      <x:c r="L221" s="73" t="str">
        <x:f>IF(D221="","",C221+K221*60)</x:f>
      </x:c>
      <x:c r="M221" t="str">
        <x:f>IF(D221="","",IF(J221&gt;=Configuracion!$B$13,"DESLIZAR",IF(J221&gt;=Configuracion!$B$12,"PREPARARSE","NO DESLIZAR")))</x:f>
      </x:c>
      <x:c r="N221" s="41" t="str">
        <x:f>IF(D221="","",D221-$D$8)</x:f>
      </x:c>
      <x:c r="O221" s="46" t="str">
        <x:f>IF(D221="","",MAX(0,MIN(1,N221/Configuracion!$B$10)))</x:f>
      </x:c>
    </x:row>
    <x:row r="222">
      <x:c r="A222" s="34"/>
      <x:c r="B222" s="36"/>
      <x:c r="C222" s="72"/>
      <x:c r="D222" s="71"/>
      <x:c r="E222" s="41" t="str">
        <x:f>IF(D222="","",D222+273.15)</x:f>
      </x:c>
      <x:c r="F222" s="44" t="str">
        <x:f>IF(OR(C222="",D222="",C221=""),"",(C222-C221)/60)</x:f>
      </x:c>
      <x:c r="G222" s="44" t="str">
        <x:f>IF(D222="","",EXP(-Configuracion!$B$4/Configuracion!$B$5*(1/AVERAGE(E221:E222)-1/(Configuracion!$B$3+273.15))))</x:f>
      </x:c>
      <x:c r="H222" s="44" t="str">
        <x:f>IF(D222="","",F222*G222)</x:f>
      </x:c>
      <x:c r="I222" s="44" t="str">
        <x:f>IF(D222="","",I221+H222)</x:f>
      </x:c>
      <x:c r="J222" s="46" t="str">
        <x:f>IF(D222="","",MIN(1,I222/Configuracion!$B$11))</x:f>
      </x:c>
      <x:c r="K222" s="48" t="str">
        <x:f>IF(D222="","",MAX(0,(Configuracion!$B$11-I222)/G222))</x:f>
      </x:c>
      <x:c r="L222" s="73" t="str">
        <x:f>IF(D222="","",C222+K222*60)</x:f>
      </x:c>
      <x:c r="M222" t="str">
        <x:f>IF(D222="","",IF(J222&gt;=Configuracion!$B$13,"DESLIZAR",IF(J222&gt;=Configuracion!$B$12,"PREPARARSE","NO DESLIZAR")))</x:f>
      </x:c>
      <x:c r="N222" s="41" t="str">
        <x:f>IF(D222="","",D222-$D$8)</x:f>
      </x:c>
      <x:c r="O222" s="46" t="str">
        <x:f>IF(D222="","",MAX(0,MIN(1,N222/Configuracion!$B$10)))</x:f>
      </x:c>
    </x:row>
    <x:row r="223">
      <x:c r="A223" s="34"/>
      <x:c r="B223" s="36"/>
      <x:c r="C223" s="72"/>
      <x:c r="D223" s="71"/>
      <x:c r="E223" s="41" t="str">
        <x:f>IF(D223="","",D223+273.15)</x:f>
      </x:c>
      <x:c r="F223" s="44" t="str">
        <x:f>IF(OR(C223="",D223="",C222=""),"",(C223-C222)/60)</x:f>
      </x:c>
      <x:c r="G223" s="44" t="str">
        <x:f>IF(D223="","",EXP(-Configuracion!$B$4/Configuracion!$B$5*(1/AVERAGE(E222:E223)-1/(Configuracion!$B$3+273.15))))</x:f>
      </x:c>
      <x:c r="H223" s="44" t="str">
        <x:f>IF(D223="","",F223*G223)</x:f>
      </x:c>
      <x:c r="I223" s="44" t="str">
        <x:f>IF(D223="","",I222+H223)</x:f>
      </x:c>
      <x:c r="J223" s="46" t="str">
        <x:f>IF(D223="","",MIN(1,I223/Configuracion!$B$11))</x:f>
      </x:c>
      <x:c r="K223" s="48" t="str">
        <x:f>IF(D223="","",MAX(0,(Configuracion!$B$11-I223)/G223))</x:f>
      </x:c>
      <x:c r="L223" s="73" t="str">
        <x:f>IF(D223="","",C223+K223*60)</x:f>
      </x:c>
      <x:c r="M223" t="str">
        <x:f>IF(D223="","",IF(J223&gt;=Configuracion!$B$13,"DESLIZAR",IF(J223&gt;=Configuracion!$B$12,"PREPARARSE","NO DESLIZAR")))</x:f>
      </x:c>
      <x:c r="N223" s="41" t="str">
        <x:f>IF(D223="","",D223-$D$8)</x:f>
      </x:c>
      <x:c r="O223" s="46" t="str">
        <x:f>IF(D223="","",MAX(0,MIN(1,N223/Configuracion!$B$10)))</x:f>
      </x:c>
    </x:row>
    <x:row r="224">
      <x:c r="A224" s="34"/>
      <x:c r="B224" s="36"/>
      <x:c r="C224" s="72"/>
      <x:c r="D224" s="71"/>
      <x:c r="E224" s="41" t="str">
        <x:f>IF(D224="","",D224+273.15)</x:f>
      </x:c>
      <x:c r="F224" s="44" t="str">
        <x:f>IF(OR(C224="",D224="",C223=""),"",(C224-C223)/60)</x:f>
      </x:c>
      <x:c r="G224" s="44" t="str">
        <x:f>IF(D224="","",EXP(-Configuracion!$B$4/Configuracion!$B$5*(1/AVERAGE(E223:E224)-1/(Configuracion!$B$3+273.15))))</x:f>
      </x:c>
      <x:c r="H224" s="44" t="str">
        <x:f>IF(D224="","",F224*G224)</x:f>
      </x:c>
      <x:c r="I224" s="44" t="str">
        <x:f>IF(D224="","",I223+H224)</x:f>
      </x:c>
      <x:c r="J224" s="46" t="str">
        <x:f>IF(D224="","",MIN(1,I224/Configuracion!$B$11))</x:f>
      </x:c>
      <x:c r="K224" s="48" t="str">
        <x:f>IF(D224="","",MAX(0,(Configuracion!$B$11-I224)/G224))</x:f>
      </x:c>
      <x:c r="L224" s="73" t="str">
        <x:f>IF(D224="","",C224+K224*60)</x:f>
      </x:c>
      <x:c r="M224" t="str">
        <x:f>IF(D224="","",IF(J224&gt;=Configuracion!$B$13,"DESLIZAR",IF(J224&gt;=Configuracion!$B$12,"PREPARARSE","NO DESLIZAR")))</x:f>
      </x:c>
      <x:c r="N224" s="41" t="str">
        <x:f>IF(D224="","",D224-$D$8)</x:f>
      </x:c>
      <x:c r="O224" s="46" t="str">
        <x:f>IF(D224="","",MAX(0,MIN(1,N224/Configuracion!$B$10)))</x:f>
      </x:c>
    </x:row>
    <x:row r="225">
      <x:c r="A225" s="34"/>
      <x:c r="B225" s="36"/>
      <x:c r="C225" s="72"/>
      <x:c r="D225" s="71"/>
      <x:c r="E225" s="41" t="str">
        <x:f>IF(D225="","",D225+273.15)</x:f>
      </x:c>
      <x:c r="F225" s="44" t="str">
        <x:f>IF(OR(C225="",D225="",C224=""),"",(C225-C224)/60)</x:f>
      </x:c>
      <x:c r="G225" s="44" t="str">
        <x:f>IF(D225="","",EXP(-Configuracion!$B$4/Configuracion!$B$5*(1/AVERAGE(E224:E225)-1/(Configuracion!$B$3+273.15))))</x:f>
      </x:c>
      <x:c r="H225" s="44" t="str">
        <x:f>IF(D225="","",F225*G225)</x:f>
      </x:c>
      <x:c r="I225" s="44" t="str">
        <x:f>IF(D225="","",I224+H225)</x:f>
      </x:c>
      <x:c r="J225" s="46" t="str">
        <x:f>IF(D225="","",MIN(1,I225/Configuracion!$B$11))</x:f>
      </x:c>
      <x:c r="K225" s="48" t="str">
        <x:f>IF(D225="","",MAX(0,(Configuracion!$B$11-I225)/G225))</x:f>
      </x:c>
      <x:c r="L225" s="73" t="str">
        <x:f>IF(D225="","",C225+K225*60)</x:f>
      </x:c>
      <x:c r="M225" t="str">
        <x:f>IF(D225="","",IF(J225&gt;=Configuracion!$B$13,"DESLIZAR",IF(J225&gt;=Configuracion!$B$12,"PREPARARSE","NO DESLIZAR")))</x:f>
      </x:c>
      <x:c r="N225" s="41" t="str">
        <x:f>IF(D225="","",D225-$D$8)</x:f>
      </x:c>
      <x:c r="O225" s="46" t="str">
        <x:f>IF(D225="","",MAX(0,MIN(1,N225/Configuracion!$B$10)))</x:f>
      </x:c>
    </x:row>
    <x:row r="226">
      <x:c r="A226" s="34"/>
      <x:c r="B226" s="36"/>
      <x:c r="C226" s="72"/>
      <x:c r="D226" s="71"/>
      <x:c r="E226" s="41" t="str">
        <x:f>IF(D226="","",D226+273.15)</x:f>
      </x:c>
      <x:c r="F226" s="44" t="str">
        <x:f>IF(OR(C226="",D226="",C225=""),"",(C226-C225)/60)</x:f>
      </x:c>
      <x:c r="G226" s="44" t="str">
        <x:f>IF(D226="","",EXP(-Configuracion!$B$4/Configuracion!$B$5*(1/AVERAGE(E225:E226)-1/(Configuracion!$B$3+273.15))))</x:f>
      </x:c>
      <x:c r="H226" s="44" t="str">
        <x:f>IF(D226="","",F226*G226)</x:f>
      </x:c>
      <x:c r="I226" s="44" t="str">
        <x:f>IF(D226="","",I225+H226)</x:f>
      </x:c>
      <x:c r="J226" s="46" t="str">
        <x:f>IF(D226="","",MIN(1,I226/Configuracion!$B$11))</x:f>
      </x:c>
      <x:c r="K226" s="48" t="str">
        <x:f>IF(D226="","",MAX(0,(Configuracion!$B$11-I226)/G226))</x:f>
      </x:c>
      <x:c r="L226" s="73" t="str">
        <x:f>IF(D226="","",C226+K226*60)</x:f>
      </x:c>
      <x:c r="M226" t="str">
        <x:f>IF(D226="","",IF(J226&gt;=Configuracion!$B$13,"DESLIZAR",IF(J226&gt;=Configuracion!$B$12,"PREPARARSE","NO DESLIZAR")))</x:f>
      </x:c>
      <x:c r="N226" s="41" t="str">
        <x:f>IF(D226="","",D226-$D$8)</x:f>
      </x:c>
      <x:c r="O226" s="46" t="str">
        <x:f>IF(D226="","",MAX(0,MIN(1,N226/Configuracion!$B$10)))</x:f>
      </x:c>
    </x:row>
    <x:row r="227">
      <x:c r="A227" s="34"/>
      <x:c r="B227" s="36"/>
      <x:c r="C227" s="72"/>
      <x:c r="D227" s="71"/>
      <x:c r="E227" s="41" t="str">
        <x:f>IF(D227="","",D227+273.15)</x:f>
      </x:c>
      <x:c r="F227" s="44" t="str">
        <x:f>IF(OR(C227="",D227="",C226=""),"",(C227-C226)/60)</x:f>
      </x:c>
      <x:c r="G227" s="44" t="str">
        <x:f>IF(D227="","",EXP(-Configuracion!$B$4/Configuracion!$B$5*(1/AVERAGE(E226:E227)-1/(Configuracion!$B$3+273.15))))</x:f>
      </x:c>
      <x:c r="H227" s="44" t="str">
        <x:f>IF(D227="","",F227*G227)</x:f>
      </x:c>
      <x:c r="I227" s="44" t="str">
        <x:f>IF(D227="","",I226+H227)</x:f>
      </x:c>
      <x:c r="J227" s="46" t="str">
        <x:f>IF(D227="","",MIN(1,I227/Configuracion!$B$11))</x:f>
      </x:c>
      <x:c r="K227" s="48" t="str">
        <x:f>IF(D227="","",MAX(0,(Configuracion!$B$11-I227)/G227))</x:f>
      </x:c>
      <x:c r="L227" s="73" t="str">
        <x:f>IF(D227="","",C227+K227*60)</x:f>
      </x:c>
      <x:c r="M227" t="str">
        <x:f>IF(D227="","",IF(J227&gt;=Configuracion!$B$13,"DESLIZAR",IF(J227&gt;=Configuracion!$B$12,"PREPARARSE","NO DESLIZAR")))</x:f>
      </x:c>
      <x:c r="N227" s="41" t="str">
        <x:f>IF(D227="","",D227-$D$8)</x:f>
      </x:c>
      <x:c r="O227" s="46" t="str">
        <x:f>IF(D227="","",MAX(0,MIN(1,N227/Configuracion!$B$10)))</x:f>
      </x:c>
    </x:row>
    <x:row r="228">
      <x:c r="A228" s="34"/>
      <x:c r="B228" s="36"/>
      <x:c r="C228" s="72"/>
      <x:c r="D228" s="71"/>
      <x:c r="E228" s="41" t="str">
        <x:f>IF(D228="","",D228+273.15)</x:f>
      </x:c>
      <x:c r="F228" s="44" t="str">
        <x:f>IF(OR(C228="",D228="",C227=""),"",(C228-C227)/60)</x:f>
      </x:c>
      <x:c r="G228" s="44" t="str">
        <x:f>IF(D228="","",EXP(-Configuracion!$B$4/Configuracion!$B$5*(1/AVERAGE(E227:E228)-1/(Configuracion!$B$3+273.15))))</x:f>
      </x:c>
      <x:c r="H228" s="44" t="str">
        <x:f>IF(D228="","",F228*G228)</x:f>
      </x:c>
      <x:c r="I228" s="44" t="str">
        <x:f>IF(D228="","",I227+H228)</x:f>
      </x:c>
      <x:c r="J228" s="46" t="str">
        <x:f>IF(D228="","",MIN(1,I228/Configuracion!$B$11))</x:f>
      </x:c>
      <x:c r="K228" s="48" t="str">
        <x:f>IF(D228="","",MAX(0,(Configuracion!$B$11-I228)/G228))</x:f>
      </x:c>
      <x:c r="L228" s="73" t="str">
        <x:f>IF(D228="","",C228+K228*60)</x:f>
      </x:c>
      <x:c r="M228" t="str">
        <x:f>IF(D228="","",IF(J228&gt;=Configuracion!$B$13,"DESLIZAR",IF(J228&gt;=Configuracion!$B$12,"PREPARARSE","NO DESLIZAR")))</x:f>
      </x:c>
      <x:c r="N228" s="41" t="str">
        <x:f>IF(D228="","",D228-$D$8)</x:f>
      </x:c>
      <x:c r="O228" s="46" t="str">
        <x:f>IF(D228="","",MAX(0,MIN(1,N228/Configuracion!$B$10)))</x:f>
      </x:c>
    </x:row>
    <x:row r="229">
      <x:c r="A229" s="34"/>
      <x:c r="B229" s="36"/>
      <x:c r="C229" s="72"/>
      <x:c r="D229" s="71"/>
      <x:c r="E229" s="41" t="str">
        <x:f>IF(D229="","",D229+273.15)</x:f>
      </x:c>
      <x:c r="F229" s="44" t="str">
        <x:f>IF(OR(C229="",D229="",C228=""),"",(C229-C228)/60)</x:f>
      </x:c>
      <x:c r="G229" s="44" t="str">
        <x:f>IF(D229="","",EXP(-Configuracion!$B$4/Configuracion!$B$5*(1/AVERAGE(E228:E229)-1/(Configuracion!$B$3+273.15))))</x:f>
      </x:c>
      <x:c r="H229" s="44" t="str">
        <x:f>IF(D229="","",F229*G229)</x:f>
      </x:c>
      <x:c r="I229" s="44" t="str">
        <x:f>IF(D229="","",I228+H229)</x:f>
      </x:c>
      <x:c r="J229" s="46" t="str">
        <x:f>IF(D229="","",MIN(1,I229/Configuracion!$B$11))</x:f>
      </x:c>
      <x:c r="K229" s="48" t="str">
        <x:f>IF(D229="","",MAX(0,(Configuracion!$B$11-I229)/G229))</x:f>
      </x:c>
      <x:c r="L229" s="73" t="str">
        <x:f>IF(D229="","",C229+K229*60)</x:f>
      </x:c>
      <x:c r="M229" t="str">
        <x:f>IF(D229="","",IF(J229&gt;=Configuracion!$B$13,"DESLIZAR",IF(J229&gt;=Configuracion!$B$12,"PREPARARSE","NO DESLIZAR")))</x:f>
      </x:c>
      <x:c r="N229" s="41" t="str">
        <x:f>IF(D229="","",D229-$D$8)</x:f>
      </x:c>
      <x:c r="O229" s="46" t="str">
        <x:f>IF(D229="","",MAX(0,MIN(1,N229/Configuracion!$B$10)))</x:f>
      </x:c>
    </x:row>
    <x:row r="230">
      <x:c r="A230" s="34"/>
      <x:c r="B230" s="36"/>
      <x:c r="C230" s="72"/>
      <x:c r="D230" s="71"/>
      <x:c r="E230" s="41" t="str">
        <x:f>IF(D230="","",D230+273.15)</x:f>
      </x:c>
      <x:c r="F230" s="44" t="str">
        <x:f>IF(OR(C230="",D230="",C229=""),"",(C230-C229)/60)</x:f>
      </x:c>
      <x:c r="G230" s="44" t="str">
        <x:f>IF(D230="","",EXP(-Configuracion!$B$4/Configuracion!$B$5*(1/AVERAGE(E229:E230)-1/(Configuracion!$B$3+273.15))))</x:f>
      </x:c>
      <x:c r="H230" s="44" t="str">
        <x:f>IF(D230="","",F230*G230)</x:f>
      </x:c>
      <x:c r="I230" s="44" t="str">
        <x:f>IF(D230="","",I229+H230)</x:f>
      </x:c>
      <x:c r="J230" s="46" t="str">
        <x:f>IF(D230="","",MIN(1,I230/Configuracion!$B$11))</x:f>
      </x:c>
      <x:c r="K230" s="48" t="str">
        <x:f>IF(D230="","",MAX(0,(Configuracion!$B$11-I230)/G230))</x:f>
      </x:c>
      <x:c r="L230" s="73" t="str">
        <x:f>IF(D230="","",C230+K230*60)</x:f>
      </x:c>
      <x:c r="M230" t="str">
        <x:f>IF(D230="","",IF(J230&gt;=Configuracion!$B$13,"DESLIZAR",IF(J230&gt;=Configuracion!$B$12,"PREPARARSE","NO DESLIZAR")))</x:f>
      </x:c>
      <x:c r="N230" s="41" t="str">
        <x:f>IF(D230="","",D230-$D$8)</x:f>
      </x:c>
      <x:c r="O230" s="46" t="str">
        <x:f>IF(D230="","",MAX(0,MIN(1,N230/Configuracion!$B$10)))</x:f>
      </x:c>
    </x:row>
    <x:row r="231">
      <x:c r="A231" s="34"/>
      <x:c r="B231" s="36"/>
      <x:c r="C231" s="72"/>
      <x:c r="D231" s="71"/>
      <x:c r="E231" s="41" t="str">
        <x:f>IF(D231="","",D231+273.15)</x:f>
      </x:c>
      <x:c r="F231" s="44" t="str">
        <x:f>IF(OR(C231="",D231="",C230=""),"",(C231-C230)/60)</x:f>
      </x:c>
      <x:c r="G231" s="44" t="str">
        <x:f>IF(D231="","",EXP(-Configuracion!$B$4/Configuracion!$B$5*(1/AVERAGE(E230:E231)-1/(Configuracion!$B$3+273.15))))</x:f>
      </x:c>
      <x:c r="H231" s="44" t="str">
        <x:f>IF(D231="","",F231*G231)</x:f>
      </x:c>
      <x:c r="I231" s="44" t="str">
        <x:f>IF(D231="","",I230+H231)</x:f>
      </x:c>
      <x:c r="J231" s="46" t="str">
        <x:f>IF(D231="","",MIN(1,I231/Configuracion!$B$11))</x:f>
      </x:c>
      <x:c r="K231" s="48" t="str">
        <x:f>IF(D231="","",MAX(0,(Configuracion!$B$11-I231)/G231))</x:f>
      </x:c>
      <x:c r="L231" s="73" t="str">
        <x:f>IF(D231="","",C231+K231*60)</x:f>
      </x:c>
      <x:c r="M231" t="str">
        <x:f>IF(D231="","",IF(J231&gt;=Configuracion!$B$13,"DESLIZAR",IF(J231&gt;=Configuracion!$B$12,"PREPARARSE","NO DESLIZAR")))</x:f>
      </x:c>
      <x:c r="N231" s="41" t="str">
        <x:f>IF(D231="","",D231-$D$8)</x:f>
      </x:c>
      <x:c r="O231" s="46" t="str">
        <x:f>IF(D231="","",MAX(0,MIN(1,N231/Configuracion!$B$10)))</x:f>
      </x:c>
    </x:row>
    <x:row r="232">
      <x:c r="A232" s="34"/>
      <x:c r="B232" s="36"/>
      <x:c r="C232" s="72"/>
      <x:c r="D232" s="71"/>
      <x:c r="E232" s="41" t="str">
        <x:f>IF(D232="","",D232+273.15)</x:f>
      </x:c>
      <x:c r="F232" s="44" t="str">
        <x:f>IF(OR(C232="",D232="",C231=""),"",(C232-C231)/60)</x:f>
      </x:c>
      <x:c r="G232" s="44" t="str">
        <x:f>IF(D232="","",EXP(-Configuracion!$B$4/Configuracion!$B$5*(1/AVERAGE(E231:E232)-1/(Configuracion!$B$3+273.15))))</x:f>
      </x:c>
      <x:c r="H232" s="44" t="str">
        <x:f>IF(D232="","",F232*G232)</x:f>
      </x:c>
      <x:c r="I232" s="44" t="str">
        <x:f>IF(D232="","",I231+H232)</x:f>
      </x:c>
      <x:c r="J232" s="46" t="str">
        <x:f>IF(D232="","",MIN(1,I232/Configuracion!$B$11))</x:f>
      </x:c>
      <x:c r="K232" s="48" t="str">
        <x:f>IF(D232="","",MAX(0,(Configuracion!$B$11-I232)/G232))</x:f>
      </x:c>
      <x:c r="L232" s="73" t="str">
        <x:f>IF(D232="","",C232+K232*60)</x:f>
      </x:c>
      <x:c r="M232" t="str">
        <x:f>IF(D232="","",IF(J232&gt;=Configuracion!$B$13,"DESLIZAR",IF(J232&gt;=Configuracion!$B$12,"PREPARARSE","NO DESLIZAR")))</x:f>
      </x:c>
      <x:c r="N232" s="41" t="str">
        <x:f>IF(D232="","",D232-$D$8)</x:f>
      </x:c>
      <x:c r="O232" s="46" t="str">
        <x:f>IF(D232="","",MAX(0,MIN(1,N232/Configuracion!$B$10)))</x:f>
      </x:c>
    </x:row>
    <x:row r="233">
      <x:c r="A233" s="34"/>
      <x:c r="B233" s="36"/>
      <x:c r="C233" s="72"/>
      <x:c r="D233" s="71"/>
      <x:c r="E233" s="41" t="str">
        <x:f>IF(D233="","",D233+273.15)</x:f>
      </x:c>
      <x:c r="F233" s="44" t="str">
        <x:f>IF(OR(C233="",D233="",C232=""),"",(C233-C232)/60)</x:f>
      </x:c>
      <x:c r="G233" s="44" t="str">
        <x:f>IF(D233="","",EXP(-Configuracion!$B$4/Configuracion!$B$5*(1/AVERAGE(E232:E233)-1/(Configuracion!$B$3+273.15))))</x:f>
      </x:c>
      <x:c r="H233" s="44" t="str">
        <x:f>IF(D233="","",F233*G233)</x:f>
      </x:c>
      <x:c r="I233" s="44" t="str">
        <x:f>IF(D233="","",I232+H233)</x:f>
      </x:c>
      <x:c r="J233" s="46" t="str">
        <x:f>IF(D233="","",MIN(1,I233/Configuracion!$B$11))</x:f>
      </x:c>
      <x:c r="K233" s="48" t="str">
        <x:f>IF(D233="","",MAX(0,(Configuracion!$B$11-I233)/G233))</x:f>
      </x:c>
      <x:c r="L233" s="73" t="str">
        <x:f>IF(D233="","",C233+K233*60)</x:f>
      </x:c>
      <x:c r="M233" t="str">
        <x:f>IF(D233="","",IF(J233&gt;=Configuracion!$B$13,"DESLIZAR",IF(J233&gt;=Configuracion!$B$12,"PREPARARSE","NO DESLIZAR")))</x:f>
      </x:c>
      <x:c r="N233" s="41" t="str">
        <x:f>IF(D233="","",D233-$D$8)</x:f>
      </x:c>
      <x:c r="O233" s="46" t="str">
        <x:f>IF(D233="","",MAX(0,MIN(1,N233/Configuracion!$B$10)))</x:f>
      </x:c>
    </x:row>
    <x:row r="234">
      <x:c r="A234" s="34"/>
      <x:c r="B234" s="36"/>
      <x:c r="C234" s="72"/>
      <x:c r="D234" s="71"/>
      <x:c r="E234" s="41" t="str">
        <x:f>IF(D234="","",D234+273.15)</x:f>
      </x:c>
      <x:c r="F234" s="44" t="str">
        <x:f>IF(OR(C234="",D234="",C233=""),"",(C234-C233)/60)</x:f>
      </x:c>
      <x:c r="G234" s="44" t="str">
        <x:f>IF(D234="","",EXP(-Configuracion!$B$4/Configuracion!$B$5*(1/AVERAGE(E233:E234)-1/(Configuracion!$B$3+273.15))))</x:f>
      </x:c>
      <x:c r="H234" s="44" t="str">
        <x:f>IF(D234="","",F234*G234)</x:f>
      </x:c>
      <x:c r="I234" s="44" t="str">
        <x:f>IF(D234="","",I233+H234)</x:f>
      </x:c>
      <x:c r="J234" s="46" t="str">
        <x:f>IF(D234="","",MIN(1,I234/Configuracion!$B$11))</x:f>
      </x:c>
      <x:c r="K234" s="48" t="str">
        <x:f>IF(D234="","",MAX(0,(Configuracion!$B$11-I234)/G234))</x:f>
      </x:c>
      <x:c r="L234" s="73" t="str">
        <x:f>IF(D234="","",C234+K234*60)</x:f>
      </x:c>
      <x:c r="M234" t="str">
        <x:f>IF(D234="","",IF(J234&gt;=Configuracion!$B$13,"DESLIZAR",IF(J234&gt;=Configuracion!$B$12,"PREPARARSE","NO DESLIZAR")))</x:f>
      </x:c>
      <x:c r="N234" s="41" t="str">
        <x:f>IF(D234="","",D234-$D$8)</x:f>
      </x:c>
      <x:c r="O234" s="46" t="str">
        <x:f>IF(D234="","",MAX(0,MIN(1,N234/Configuracion!$B$10)))</x:f>
      </x:c>
    </x:row>
    <x:row r="235">
      <x:c r="A235" s="34"/>
      <x:c r="B235" s="36"/>
      <x:c r="C235" s="72"/>
      <x:c r="D235" s="71"/>
      <x:c r="E235" s="41" t="str">
        <x:f>IF(D235="","",D235+273.15)</x:f>
      </x:c>
      <x:c r="F235" s="44" t="str">
        <x:f>IF(OR(C235="",D235="",C234=""),"",(C235-C234)/60)</x:f>
      </x:c>
      <x:c r="G235" s="44" t="str">
        <x:f>IF(D235="","",EXP(-Configuracion!$B$4/Configuracion!$B$5*(1/AVERAGE(E234:E235)-1/(Configuracion!$B$3+273.15))))</x:f>
      </x:c>
      <x:c r="H235" s="44" t="str">
        <x:f>IF(D235="","",F235*G235)</x:f>
      </x:c>
      <x:c r="I235" s="44" t="str">
        <x:f>IF(D235="","",I234+H235)</x:f>
      </x:c>
      <x:c r="J235" s="46" t="str">
        <x:f>IF(D235="","",MIN(1,I235/Configuracion!$B$11))</x:f>
      </x:c>
      <x:c r="K235" s="48" t="str">
        <x:f>IF(D235="","",MAX(0,(Configuracion!$B$11-I235)/G235))</x:f>
      </x:c>
      <x:c r="L235" s="73" t="str">
        <x:f>IF(D235="","",C235+K235*60)</x:f>
      </x:c>
      <x:c r="M235" t="str">
        <x:f>IF(D235="","",IF(J235&gt;=Configuracion!$B$13,"DESLIZAR",IF(J235&gt;=Configuracion!$B$12,"PREPARARSE","NO DESLIZAR")))</x:f>
      </x:c>
      <x:c r="N235" s="41" t="str">
        <x:f>IF(D235="","",D235-$D$8)</x:f>
      </x:c>
      <x:c r="O235" s="46" t="str">
        <x:f>IF(D235="","",MAX(0,MIN(1,N235/Configuracion!$B$10)))</x:f>
      </x:c>
    </x:row>
    <x:row r="236">
      <x:c r="A236" s="34"/>
      <x:c r="B236" s="36"/>
      <x:c r="C236" s="72"/>
      <x:c r="D236" s="71"/>
      <x:c r="E236" s="41" t="str">
        <x:f>IF(D236="","",D236+273.15)</x:f>
      </x:c>
      <x:c r="F236" s="44" t="str">
        <x:f>IF(OR(C236="",D236="",C235=""),"",(C236-C235)/60)</x:f>
      </x:c>
      <x:c r="G236" s="44" t="str">
        <x:f>IF(D236="","",EXP(-Configuracion!$B$4/Configuracion!$B$5*(1/AVERAGE(E235:E236)-1/(Configuracion!$B$3+273.15))))</x:f>
      </x:c>
      <x:c r="H236" s="44" t="str">
        <x:f>IF(D236="","",F236*G236)</x:f>
      </x:c>
      <x:c r="I236" s="44" t="str">
        <x:f>IF(D236="","",I235+H236)</x:f>
      </x:c>
      <x:c r="J236" s="46" t="str">
        <x:f>IF(D236="","",MIN(1,I236/Configuracion!$B$11))</x:f>
      </x:c>
      <x:c r="K236" s="48" t="str">
        <x:f>IF(D236="","",MAX(0,(Configuracion!$B$11-I236)/G236))</x:f>
      </x:c>
      <x:c r="L236" s="73" t="str">
        <x:f>IF(D236="","",C236+K236*60)</x:f>
      </x:c>
      <x:c r="M236" t="str">
        <x:f>IF(D236="","",IF(J236&gt;=Configuracion!$B$13,"DESLIZAR",IF(J236&gt;=Configuracion!$B$12,"PREPARARSE","NO DESLIZAR")))</x:f>
      </x:c>
      <x:c r="N236" s="41" t="str">
        <x:f>IF(D236="","",D236-$D$8)</x:f>
      </x:c>
      <x:c r="O236" s="46" t="str">
        <x:f>IF(D236="","",MAX(0,MIN(1,N236/Configuracion!$B$10)))</x:f>
      </x:c>
    </x:row>
    <x:row r="237">
      <x:c r="A237" s="34"/>
      <x:c r="B237" s="36"/>
      <x:c r="C237" s="72"/>
      <x:c r="D237" s="71"/>
      <x:c r="E237" s="41" t="str">
        <x:f>IF(D237="","",D237+273.15)</x:f>
      </x:c>
      <x:c r="F237" s="44" t="str">
        <x:f>IF(OR(C237="",D237="",C236=""),"",(C237-C236)/60)</x:f>
      </x:c>
      <x:c r="G237" s="44" t="str">
        <x:f>IF(D237="","",EXP(-Configuracion!$B$4/Configuracion!$B$5*(1/AVERAGE(E236:E237)-1/(Configuracion!$B$3+273.15))))</x:f>
      </x:c>
      <x:c r="H237" s="44" t="str">
        <x:f>IF(D237="","",F237*G237)</x:f>
      </x:c>
      <x:c r="I237" s="44" t="str">
        <x:f>IF(D237="","",I236+H237)</x:f>
      </x:c>
      <x:c r="J237" s="46" t="str">
        <x:f>IF(D237="","",MIN(1,I237/Configuracion!$B$11))</x:f>
      </x:c>
      <x:c r="K237" s="48" t="str">
        <x:f>IF(D237="","",MAX(0,(Configuracion!$B$11-I237)/G237))</x:f>
      </x:c>
      <x:c r="L237" s="73" t="str">
        <x:f>IF(D237="","",C237+K237*60)</x:f>
      </x:c>
      <x:c r="M237" t="str">
        <x:f>IF(D237="","",IF(J237&gt;=Configuracion!$B$13,"DESLIZAR",IF(J237&gt;=Configuracion!$B$12,"PREPARARSE","NO DESLIZAR")))</x:f>
      </x:c>
      <x:c r="N237" s="41" t="str">
        <x:f>IF(D237="","",D237-$D$8)</x:f>
      </x:c>
      <x:c r="O237" s="46" t="str">
        <x:f>IF(D237="","",MAX(0,MIN(1,N237/Configuracion!$B$10)))</x:f>
      </x:c>
    </x:row>
    <x:row r="238">
      <x:c r="A238" s="34"/>
      <x:c r="B238" s="36"/>
      <x:c r="C238" s="72"/>
      <x:c r="D238" s="71"/>
      <x:c r="E238" s="41" t="str">
        <x:f>IF(D238="","",D238+273.15)</x:f>
      </x:c>
      <x:c r="F238" s="44" t="str">
        <x:f>IF(OR(C238="",D238="",C237=""),"",(C238-C237)/60)</x:f>
      </x:c>
      <x:c r="G238" s="44" t="str">
        <x:f>IF(D238="","",EXP(-Configuracion!$B$4/Configuracion!$B$5*(1/AVERAGE(E237:E238)-1/(Configuracion!$B$3+273.15))))</x:f>
      </x:c>
      <x:c r="H238" s="44" t="str">
        <x:f>IF(D238="","",F238*G238)</x:f>
      </x:c>
      <x:c r="I238" s="44" t="str">
        <x:f>IF(D238="","",I237+H238)</x:f>
      </x:c>
      <x:c r="J238" s="46" t="str">
        <x:f>IF(D238="","",MIN(1,I238/Configuracion!$B$11))</x:f>
      </x:c>
      <x:c r="K238" s="48" t="str">
        <x:f>IF(D238="","",MAX(0,(Configuracion!$B$11-I238)/G238))</x:f>
      </x:c>
      <x:c r="L238" s="73" t="str">
        <x:f>IF(D238="","",C238+K238*60)</x:f>
      </x:c>
      <x:c r="M238" t="str">
        <x:f>IF(D238="","",IF(J238&gt;=Configuracion!$B$13,"DESLIZAR",IF(J238&gt;=Configuracion!$B$12,"PREPARARSE","NO DESLIZAR")))</x:f>
      </x:c>
      <x:c r="N238" s="41" t="str">
        <x:f>IF(D238="","",D238-$D$8)</x:f>
      </x:c>
      <x:c r="O238" s="46" t="str">
        <x:f>IF(D238="","",MAX(0,MIN(1,N238/Configuracion!$B$10)))</x:f>
      </x:c>
    </x:row>
    <x:row r="239">
      <x:c r="A239" s="34"/>
      <x:c r="B239" s="36"/>
      <x:c r="C239" s="72"/>
      <x:c r="D239" s="71"/>
      <x:c r="E239" s="41" t="str">
        <x:f>IF(D239="","",D239+273.15)</x:f>
      </x:c>
      <x:c r="F239" s="44" t="str">
        <x:f>IF(OR(C239="",D239="",C238=""),"",(C239-C238)/60)</x:f>
      </x:c>
      <x:c r="G239" s="44" t="str">
        <x:f>IF(D239="","",EXP(-Configuracion!$B$4/Configuracion!$B$5*(1/AVERAGE(E238:E239)-1/(Configuracion!$B$3+273.15))))</x:f>
      </x:c>
      <x:c r="H239" s="44" t="str">
        <x:f>IF(D239="","",F239*G239)</x:f>
      </x:c>
      <x:c r="I239" s="44" t="str">
        <x:f>IF(D239="","",I238+H239)</x:f>
      </x:c>
      <x:c r="J239" s="46" t="str">
        <x:f>IF(D239="","",MIN(1,I239/Configuracion!$B$11))</x:f>
      </x:c>
      <x:c r="K239" s="48" t="str">
        <x:f>IF(D239="","",MAX(0,(Configuracion!$B$11-I239)/G239))</x:f>
      </x:c>
      <x:c r="L239" s="73" t="str">
        <x:f>IF(D239="","",C239+K239*60)</x:f>
      </x:c>
      <x:c r="M239" t="str">
        <x:f>IF(D239="","",IF(J239&gt;=Configuracion!$B$13,"DESLIZAR",IF(J239&gt;=Configuracion!$B$12,"PREPARARSE","NO DESLIZAR")))</x:f>
      </x:c>
      <x:c r="N239" s="41" t="str">
        <x:f>IF(D239="","",D239-$D$8)</x:f>
      </x:c>
      <x:c r="O239" s="46" t="str">
        <x:f>IF(D239="","",MAX(0,MIN(1,N239/Configuracion!$B$10)))</x:f>
      </x:c>
    </x:row>
    <x:row r="240">
      <x:c r="A240" s="34"/>
      <x:c r="B240" s="36"/>
      <x:c r="C240" s="72"/>
      <x:c r="D240" s="71"/>
      <x:c r="E240" s="41" t="str">
        <x:f>IF(D240="","",D240+273.15)</x:f>
      </x:c>
      <x:c r="F240" s="44" t="str">
        <x:f>IF(OR(C240="",D240="",C239=""),"",(C240-C239)/60)</x:f>
      </x:c>
      <x:c r="G240" s="44" t="str">
        <x:f>IF(D240="","",EXP(-Configuracion!$B$4/Configuracion!$B$5*(1/AVERAGE(E239:E240)-1/(Configuracion!$B$3+273.15))))</x:f>
      </x:c>
      <x:c r="H240" s="44" t="str">
        <x:f>IF(D240="","",F240*G240)</x:f>
      </x:c>
      <x:c r="I240" s="44" t="str">
        <x:f>IF(D240="","",I239+H240)</x:f>
      </x:c>
      <x:c r="J240" s="46" t="str">
        <x:f>IF(D240="","",MIN(1,I240/Configuracion!$B$11))</x:f>
      </x:c>
      <x:c r="K240" s="48" t="str">
        <x:f>IF(D240="","",MAX(0,(Configuracion!$B$11-I240)/G240))</x:f>
      </x:c>
      <x:c r="L240" s="73" t="str">
        <x:f>IF(D240="","",C240+K240*60)</x:f>
      </x:c>
      <x:c r="M240" t="str">
        <x:f>IF(D240="","",IF(J240&gt;=Configuracion!$B$13,"DESLIZAR",IF(J240&gt;=Configuracion!$B$12,"PREPARARSE","NO DESLIZAR")))</x:f>
      </x:c>
      <x:c r="N240" s="41" t="str">
        <x:f>IF(D240="","",D240-$D$8)</x:f>
      </x:c>
      <x:c r="O240" s="46" t="str">
        <x:f>IF(D240="","",MAX(0,MIN(1,N240/Configuracion!$B$10)))</x:f>
      </x:c>
    </x:row>
    <x:row r="241">
      <x:c r="A241" s="34"/>
      <x:c r="B241" s="36"/>
      <x:c r="C241" s="72"/>
      <x:c r="D241" s="71"/>
      <x:c r="E241" s="41" t="str">
        <x:f>IF(D241="","",D241+273.15)</x:f>
      </x:c>
      <x:c r="F241" s="44" t="str">
        <x:f>IF(OR(C241="",D241="",C240=""),"",(C241-C240)/60)</x:f>
      </x:c>
      <x:c r="G241" s="44" t="str">
        <x:f>IF(D241="","",EXP(-Configuracion!$B$4/Configuracion!$B$5*(1/AVERAGE(E240:E241)-1/(Configuracion!$B$3+273.15))))</x:f>
      </x:c>
      <x:c r="H241" s="44" t="str">
        <x:f>IF(D241="","",F241*G241)</x:f>
      </x:c>
      <x:c r="I241" s="44" t="str">
        <x:f>IF(D241="","",I240+H241)</x:f>
      </x:c>
      <x:c r="J241" s="46" t="str">
        <x:f>IF(D241="","",MIN(1,I241/Configuracion!$B$11))</x:f>
      </x:c>
      <x:c r="K241" s="48" t="str">
        <x:f>IF(D241="","",MAX(0,(Configuracion!$B$11-I241)/G241))</x:f>
      </x:c>
      <x:c r="L241" s="73" t="str">
        <x:f>IF(D241="","",C241+K241*60)</x:f>
      </x:c>
      <x:c r="M241" t="str">
        <x:f>IF(D241="","",IF(J241&gt;=Configuracion!$B$13,"DESLIZAR",IF(J241&gt;=Configuracion!$B$12,"PREPARARSE","NO DESLIZAR")))</x:f>
      </x:c>
      <x:c r="N241" s="41" t="str">
        <x:f>IF(D241="","",D241-$D$8)</x:f>
      </x:c>
      <x:c r="O241" s="46" t="str">
        <x:f>IF(D241="","",MAX(0,MIN(1,N241/Configuracion!$B$10)))</x:f>
      </x:c>
    </x:row>
    <x:row r="242">
      <x:c r="A242" s="34"/>
      <x:c r="B242" s="36"/>
      <x:c r="C242" s="72"/>
      <x:c r="D242" s="71"/>
      <x:c r="E242" s="41" t="str">
        <x:f>IF(D242="","",D242+273.15)</x:f>
      </x:c>
      <x:c r="F242" s="44" t="str">
        <x:f>IF(OR(C242="",D242="",C241=""),"",(C242-C241)/60)</x:f>
      </x:c>
      <x:c r="G242" s="44" t="str">
        <x:f>IF(D242="","",EXP(-Configuracion!$B$4/Configuracion!$B$5*(1/AVERAGE(E241:E242)-1/(Configuracion!$B$3+273.15))))</x:f>
      </x:c>
      <x:c r="H242" s="44" t="str">
        <x:f>IF(D242="","",F242*G242)</x:f>
      </x:c>
      <x:c r="I242" s="44" t="str">
        <x:f>IF(D242="","",I241+H242)</x:f>
      </x:c>
      <x:c r="J242" s="46" t="str">
        <x:f>IF(D242="","",MIN(1,I242/Configuracion!$B$11))</x:f>
      </x:c>
      <x:c r="K242" s="48" t="str">
        <x:f>IF(D242="","",MAX(0,(Configuracion!$B$11-I242)/G242))</x:f>
      </x:c>
      <x:c r="L242" s="73" t="str">
        <x:f>IF(D242="","",C242+K242*60)</x:f>
      </x:c>
      <x:c r="M242" t="str">
        <x:f>IF(D242="","",IF(J242&gt;=Configuracion!$B$13,"DESLIZAR",IF(J242&gt;=Configuracion!$B$12,"PREPARARSE","NO DESLIZAR")))</x:f>
      </x:c>
      <x:c r="N242" s="41" t="str">
        <x:f>IF(D242="","",D242-$D$8)</x:f>
      </x:c>
      <x:c r="O242" s="46" t="str">
        <x:f>IF(D242="","",MAX(0,MIN(1,N242/Configuracion!$B$10)))</x:f>
      </x:c>
    </x:row>
    <x:row r="243">
      <x:c r="A243" s="34"/>
      <x:c r="B243" s="36"/>
      <x:c r="C243" s="72"/>
      <x:c r="D243" s="71"/>
      <x:c r="E243" s="41" t="str">
        <x:f>IF(D243="","",D243+273.15)</x:f>
      </x:c>
      <x:c r="F243" s="44" t="str">
        <x:f>IF(OR(C243="",D243="",C242=""),"",(C243-C242)/60)</x:f>
      </x:c>
      <x:c r="G243" s="44" t="str">
        <x:f>IF(D243="","",EXP(-Configuracion!$B$4/Configuracion!$B$5*(1/AVERAGE(E242:E243)-1/(Configuracion!$B$3+273.15))))</x:f>
      </x:c>
      <x:c r="H243" s="44" t="str">
        <x:f>IF(D243="","",F243*G243)</x:f>
      </x:c>
      <x:c r="I243" s="44" t="str">
        <x:f>IF(D243="","",I242+H243)</x:f>
      </x:c>
      <x:c r="J243" s="46" t="str">
        <x:f>IF(D243="","",MIN(1,I243/Configuracion!$B$11))</x:f>
      </x:c>
      <x:c r="K243" s="48" t="str">
        <x:f>IF(D243="","",MAX(0,(Configuracion!$B$11-I243)/G243))</x:f>
      </x:c>
      <x:c r="L243" s="73" t="str">
        <x:f>IF(D243="","",C243+K243*60)</x:f>
      </x:c>
      <x:c r="M243" t="str">
        <x:f>IF(D243="","",IF(J243&gt;=Configuracion!$B$13,"DESLIZAR",IF(J243&gt;=Configuracion!$B$12,"PREPARARSE","NO DESLIZAR")))</x:f>
      </x:c>
      <x:c r="N243" s="41" t="str">
        <x:f>IF(D243="","",D243-$D$8)</x:f>
      </x:c>
      <x:c r="O243" s="46" t="str">
        <x:f>IF(D243="","",MAX(0,MIN(1,N243/Configuracion!$B$10)))</x:f>
      </x:c>
    </x:row>
    <x:row r="244">
      <x:c r="A244" s="34"/>
      <x:c r="B244" s="36"/>
      <x:c r="C244" s="72"/>
      <x:c r="D244" s="71"/>
      <x:c r="E244" s="41" t="str">
        <x:f>IF(D244="","",D244+273.15)</x:f>
      </x:c>
      <x:c r="F244" s="44" t="str">
        <x:f>IF(OR(C244="",D244="",C243=""),"",(C244-C243)/60)</x:f>
      </x:c>
      <x:c r="G244" s="44" t="str">
        <x:f>IF(D244="","",EXP(-Configuracion!$B$4/Configuracion!$B$5*(1/AVERAGE(E243:E244)-1/(Configuracion!$B$3+273.15))))</x:f>
      </x:c>
      <x:c r="H244" s="44" t="str">
        <x:f>IF(D244="","",F244*G244)</x:f>
      </x:c>
      <x:c r="I244" s="44" t="str">
        <x:f>IF(D244="","",I243+H244)</x:f>
      </x:c>
      <x:c r="J244" s="46" t="str">
        <x:f>IF(D244="","",MIN(1,I244/Configuracion!$B$11))</x:f>
      </x:c>
      <x:c r="K244" s="48" t="str">
        <x:f>IF(D244="","",MAX(0,(Configuracion!$B$11-I244)/G244))</x:f>
      </x:c>
      <x:c r="L244" s="73" t="str">
        <x:f>IF(D244="","",C244+K244*60)</x:f>
      </x:c>
      <x:c r="M244" t="str">
        <x:f>IF(D244="","",IF(J244&gt;=Configuracion!$B$13,"DESLIZAR",IF(J244&gt;=Configuracion!$B$12,"PREPARARSE","NO DESLIZAR")))</x:f>
      </x:c>
      <x:c r="N244" s="41" t="str">
        <x:f>IF(D244="","",D244-$D$8)</x:f>
      </x:c>
      <x:c r="O244" s="46" t="str">
        <x:f>IF(D244="","",MAX(0,MIN(1,N244/Configuracion!$B$10)))</x:f>
      </x:c>
    </x:row>
    <x:row r="245">
      <x:c r="A245" s="34"/>
      <x:c r="B245" s="36"/>
      <x:c r="C245" s="72"/>
      <x:c r="D245" s="71"/>
      <x:c r="E245" s="41" t="str">
        <x:f>IF(D245="","",D245+273.15)</x:f>
      </x:c>
      <x:c r="F245" s="44" t="str">
        <x:f>IF(OR(C245="",D245="",C244=""),"",(C245-C244)/60)</x:f>
      </x:c>
      <x:c r="G245" s="44" t="str">
        <x:f>IF(D245="","",EXP(-Configuracion!$B$4/Configuracion!$B$5*(1/AVERAGE(E244:E245)-1/(Configuracion!$B$3+273.15))))</x:f>
      </x:c>
      <x:c r="H245" s="44" t="str">
        <x:f>IF(D245="","",F245*G245)</x:f>
      </x:c>
      <x:c r="I245" s="44" t="str">
        <x:f>IF(D245="","",I244+H245)</x:f>
      </x:c>
      <x:c r="J245" s="46" t="str">
        <x:f>IF(D245="","",MIN(1,I245/Configuracion!$B$11))</x:f>
      </x:c>
      <x:c r="K245" s="48" t="str">
        <x:f>IF(D245="","",MAX(0,(Configuracion!$B$11-I245)/G245))</x:f>
      </x:c>
      <x:c r="L245" s="73" t="str">
        <x:f>IF(D245="","",C245+K245*60)</x:f>
      </x:c>
      <x:c r="M245" t="str">
        <x:f>IF(D245="","",IF(J245&gt;=Configuracion!$B$13,"DESLIZAR",IF(J245&gt;=Configuracion!$B$12,"PREPARARSE","NO DESLIZAR")))</x:f>
      </x:c>
      <x:c r="N245" s="41" t="str">
        <x:f>IF(D245="","",D245-$D$8)</x:f>
      </x:c>
      <x:c r="O245" s="46" t="str">
        <x:f>IF(D245="","",MAX(0,MIN(1,N245/Configuracion!$B$10)))</x:f>
      </x:c>
    </x:row>
    <x:row r="246">
      <x:c r="A246" s="34"/>
      <x:c r="B246" s="36"/>
      <x:c r="C246" s="72"/>
      <x:c r="D246" s="71"/>
      <x:c r="E246" s="41" t="str">
        <x:f>IF(D246="","",D246+273.15)</x:f>
      </x:c>
      <x:c r="F246" s="44" t="str">
        <x:f>IF(OR(C246="",D246="",C245=""),"",(C246-C245)/60)</x:f>
      </x:c>
      <x:c r="G246" s="44" t="str">
        <x:f>IF(D246="","",EXP(-Configuracion!$B$4/Configuracion!$B$5*(1/AVERAGE(E245:E246)-1/(Configuracion!$B$3+273.15))))</x:f>
      </x:c>
      <x:c r="H246" s="44" t="str">
        <x:f>IF(D246="","",F246*G246)</x:f>
      </x:c>
      <x:c r="I246" s="44" t="str">
        <x:f>IF(D246="","",I245+H246)</x:f>
      </x:c>
      <x:c r="J246" s="46" t="str">
        <x:f>IF(D246="","",MIN(1,I246/Configuracion!$B$11))</x:f>
      </x:c>
      <x:c r="K246" s="48" t="str">
        <x:f>IF(D246="","",MAX(0,(Configuracion!$B$11-I246)/G246))</x:f>
      </x:c>
      <x:c r="L246" s="73" t="str">
        <x:f>IF(D246="","",C246+K246*60)</x:f>
      </x:c>
      <x:c r="M246" t="str">
        <x:f>IF(D246="","",IF(J246&gt;=Configuracion!$B$13,"DESLIZAR",IF(J246&gt;=Configuracion!$B$12,"PREPARARSE","NO DESLIZAR")))</x:f>
      </x:c>
      <x:c r="N246" s="41" t="str">
        <x:f>IF(D246="","",D246-$D$8)</x:f>
      </x:c>
      <x:c r="O246" s="46" t="str">
        <x:f>IF(D246="","",MAX(0,MIN(1,N246/Configuracion!$B$10)))</x:f>
      </x:c>
    </x:row>
    <x:row r="247">
      <x:c r="A247" s="34"/>
      <x:c r="B247" s="36"/>
      <x:c r="C247" s="72"/>
      <x:c r="D247" s="71"/>
      <x:c r="E247" s="41" t="str">
        <x:f>IF(D247="","",D247+273.15)</x:f>
      </x:c>
      <x:c r="F247" s="44" t="str">
        <x:f>IF(OR(C247="",D247="",C246=""),"",(C247-C246)/60)</x:f>
      </x:c>
      <x:c r="G247" s="44" t="str">
        <x:f>IF(D247="","",EXP(-Configuracion!$B$4/Configuracion!$B$5*(1/AVERAGE(E246:E247)-1/(Configuracion!$B$3+273.15))))</x:f>
      </x:c>
      <x:c r="H247" s="44" t="str">
        <x:f>IF(D247="","",F247*G247)</x:f>
      </x:c>
      <x:c r="I247" s="44" t="str">
        <x:f>IF(D247="","",I246+H247)</x:f>
      </x:c>
      <x:c r="J247" s="46" t="str">
        <x:f>IF(D247="","",MIN(1,I247/Configuracion!$B$11))</x:f>
      </x:c>
      <x:c r="K247" s="48" t="str">
        <x:f>IF(D247="","",MAX(0,(Configuracion!$B$11-I247)/G247))</x:f>
      </x:c>
      <x:c r="L247" s="73" t="str">
        <x:f>IF(D247="","",C247+K247*60)</x:f>
      </x:c>
      <x:c r="M247" t="str">
        <x:f>IF(D247="","",IF(J247&gt;=Configuracion!$B$13,"DESLIZAR",IF(J247&gt;=Configuracion!$B$12,"PREPARARSE","NO DESLIZAR")))</x:f>
      </x:c>
      <x:c r="N247" s="41" t="str">
        <x:f>IF(D247="","",D247-$D$8)</x:f>
      </x:c>
      <x:c r="O247" s="46" t="str">
        <x:f>IF(D247="","",MAX(0,MIN(1,N247/Configuracion!$B$10)))</x:f>
      </x:c>
    </x:row>
    <x:row r="248">
      <x:c r="A248" s="34"/>
      <x:c r="B248" s="36"/>
      <x:c r="C248" s="72"/>
      <x:c r="D248" s="71"/>
      <x:c r="E248" s="41" t="str">
        <x:f>IF(D248="","",D248+273.15)</x:f>
      </x:c>
      <x:c r="F248" s="44" t="str">
        <x:f>IF(OR(C248="",D248="",C247=""),"",(C248-C247)/60)</x:f>
      </x:c>
      <x:c r="G248" s="44" t="str">
        <x:f>IF(D248="","",EXP(-Configuracion!$B$4/Configuracion!$B$5*(1/AVERAGE(E247:E248)-1/(Configuracion!$B$3+273.15))))</x:f>
      </x:c>
      <x:c r="H248" s="44" t="str">
        <x:f>IF(D248="","",F248*G248)</x:f>
      </x:c>
      <x:c r="I248" s="44" t="str">
        <x:f>IF(D248="","",I247+H248)</x:f>
      </x:c>
      <x:c r="J248" s="46" t="str">
        <x:f>IF(D248="","",MIN(1,I248/Configuracion!$B$11))</x:f>
      </x:c>
      <x:c r="K248" s="48" t="str">
        <x:f>IF(D248="","",MAX(0,(Configuracion!$B$11-I248)/G248))</x:f>
      </x:c>
      <x:c r="L248" s="73" t="str">
        <x:f>IF(D248="","",C248+K248*60)</x:f>
      </x:c>
      <x:c r="M248" t="str">
        <x:f>IF(D248="","",IF(J248&gt;=Configuracion!$B$13,"DESLIZAR",IF(J248&gt;=Configuracion!$B$12,"PREPARARSE","NO DESLIZAR")))</x:f>
      </x:c>
      <x:c r="N248" s="41" t="str">
        <x:f>IF(D248="","",D248-$D$8)</x:f>
      </x:c>
      <x:c r="O248" s="46" t="str">
        <x:f>IF(D248="","",MAX(0,MIN(1,N248/Configuracion!$B$10)))</x:f>
      </x:c>
    </x:row>
    <x:row r="249">
      <x:c r="A249" s="34"/>
      <x:c r="B249" s="36"/>
      <x:c r="C249" s="72"/>
      <x:c r="D249" s="71"/>
      <x:c r="E249" s="41" t="str">
        <x:f>IF(D249="","",D249+273.15)</x:f>
      </x:c>
      <x:c r="F249" s="44" t="str">
        <x:f>IF(OR(C249="",D249="",C248=""),"",(C249-C248)/60)</x:f>
      </x:c>
      <x:c r="G249" s="44" t="str">
        <x:f>IF(D249="","",EXP(-Configuracion!$B$4/Configuracion!$B$5*(1/AVERAGE(E248:E249)-1/(Configuracion!$B$3+273.15))))</x:f>
      </x:c>
      <x:c r="H249" s="44" t="str">
        <x:f>IF(D249="","",F249*G249)</x:f>
      </x:c>
      <x:c r="I249" s="44" t="str">
        <x:f>IF(D249="","",I248+H249)</x:f>
      </x:c>
      <x:c r="J249" s="46" t="str">
        <x:f>IF(D249="","",MIN(1,I249/Configuracion!$B$11))</x:f>
      </x:c>
      <x:c r="K249" s="48" t="str">
        <x:f>IF(D249="","",MAX(0,(Configuracion!$B$11-I249)/G249))</x:f>
      </x:c>
      <x:c r="L249" s="73" t="str">
        <x:f>IF(D249="","",C249+K249*60)</x:f>
      </x:c>
      <x:c r="M249" t="str">
        <x:f>IF(D249="","",IF(J249&gt;=Configuracion!$B$13,"DESLIZAR",IF(J249&gt;=Configuracion!$B$12,"PREPARARSE","NO DESLIZAR")))</x:f>
      </x:c>
      <x:c r="N249" s="41" t="str">
        <x:f>IF(D249="","",D249-$D$8)</x:f>
      </x:c>
      <x:c r="O249" s="46" t="str">
        <x:f>IF(D249="","",MAX(0,MIN(1,N249/Configuracion!$B$10)))</x:f>
      </x:c>
    </x:row>
    <x:row r="250">
      <x:c r="A250" s="34"/>
      <x:c r="B250" s="36"/>
      <x:c r="C250" s="72"/>
      <x:c r="D250" s="71"/>
      <x:c r="E250" s="41" t="str">
        <x:f>IF(D250="","",D250+273.15)</x:f>
      </x:c>
      <x:c r="F250" s="44" t="str">
        <x:f>IF(OR(C250="",D250="",C249=""),"",(C250-C249)/60)</x:f>
      </x:c>
      <x:c r="G250" s="44" t="str">
        <x:f>IF(D250="","",EXP(-Configuracion!$B$4/Configuracion!$B$5*(1/AVERAGE(E249:E250)-1/(Configuracion!$B$3+273.15))))</x:f>
      </x:c>
      <x:c r="H250" s="44" t="str">
        <x:f>IF(D250="","",F250*G250)</x:f>
      </x:c>
      <x:c r="I250" s="44" t="str">
        <x:f>IF(D250="","",I249+H250)</x:f>
      </x:c>
      <x:c r="J250" s="46" t="str">
        <x:f>IF(D250="","",MIN(1,I250/Configuracion!$B$11))</x:f>
      </x:c>
      <x:c r="K250" s="48" t="str">
        <x:f>IF(D250="","",MAX(0,(Configuracion!$B$11-I250)/G250))</x:f>
      </x:c>
      <x:c r="L250" s="73" t="str">
        <x:f>IF(D250="","",C250+K250*60)</x:f>
      </x:c>
      <x:c r="M250" t="str">
        <x:f>IF(D250="","",IF(J250&gt;=Configuracion!$B$13,"DESLIZAR",IF(J250&gt;=Configuracion!$B$12,"PREPARARSE","NO DESLIZAR")))</x:f>
      </x:c>
      <x:c r="N250" s="41" t="str">
        <x:f>IF(D250="","",D250-$D$8)</x:f>
      </x:c>
      <x:c r="O250" s="46" t="str">
        <x:f>IF(D250="","",MAX(0,MIN(1,N250/Configuracion!$B$10)))</x:f>
      </x:c>
    </x:row>
    <x:row r="251">
      <x:c r="A251" s="34"/>
      <x:c r="B251" s="36"/>
      <x:c r="C251" s="72"/>
      <x:c r="D251" s="71"/>
      <x:c r="E251" s="41" t="str">
        <x:f>IF(D251="","",D251+273.15)</x:f>
      </x:c>
      <x:c r="F251" s="44" t="str">
        <x:f>IF(OR(C251="",D251="",C250=""),"",(C251-C250)/60)</x:f>
      </x:c>
      <x:c r="G251" s="44" t="str">
        <x:f>IF(D251="","",EXP(-Configuracion!$B$4/Configuracion!$B$5*(1/AVERAGE(E250:E251)-1/(Configuracion!$B$3+273.15))))</x:f>
      </x:c>
      <x:c r="H251" s="44" t="str">
        <x:f>IF(D251="","",F251*G251)</x:f>
      </x:c>
      <x:c r="I251" s="44" t="str">
        <x:f>IF(D251="","",I250+H251)</x:f>
      </x:c>
      <x:c r="J251" s="46" t="str">
        <x:f>IF(D251="","",MIN(1,I251/Configuracion!$B$11))</x:f>
      </x:c>
      <x:c r="K251" s="48" t="str">
        <x:f>IF(D251="","",MAX(0,(Configuracion!$B$11-I251)/G251))</x:f>
      </x:c>
      <x:c r="L251" s="73" t="str">
        <x:f>IF(D251="","",C251+K251*60)</x:f>
      </x:c>
      <x:c r="M251" t="str">
        <x:f>IF(D251="","",IF(J251&gt;=Configuracion!$B$13,"DESLIZAR",IF(J251&gt;=Configuracion!$B$12,"PREPARARSE","NO DESLIZAR")))</x:f>
      </x:c>
      <x:c r="N251" s="41" t="str">
        <x:f>IF(D251="","",D251-$D$8)</x:f>
      </x:c>
      <x:c r="O251" s="46" t="str">
        <x:f>IF(D251="","",MAX(0,MIN(1,N251/Configuracion!$B$10)))</x:f>
      </x:c>
    </x:row>
    <x:row r="252">
      <x:c r="A252" s="34"/>
      <x:c r="B252" s="36"/>
      <x:c r="C252" s="72"/>
      <x:c r="D252" s="71"/>
      <x:c r="E252" s="41" t="str">
        <x:f>IF(D252="","",D252+273.15)</x:f>
      </x:c>
      <x:c r="F252" s="44" t="str">
        <x:f>IF(OR(C252="",D252="",C251=""),"",(C252-C251)/60)</x:f>
      </x:c>
      <x:c r="G252" s="44" t="str">
        <x:f>IF(D252="","",EXP(-Configuracion!$B$4/Configuracion!$B$5*(1/AVERAGE(E251:E252)-1/(Configuracion!$B$3+273.15))))</x:f>
      </x:c>
      <x:c r="H252" s="44" t="str">
        <x:f>IF(D252="","",F252*G252)</x:f>
      </x:c>
      <x:c r="I252" s="44" t="str">
        <x:f>IF(D252="","",I251+H252)</x:f>
      </x:c>
      <x:c r="J252" s="46" t="str">
        <x:f>IF(D252="","",MIN(1,I252/Configuracion!$B$11))</x:f>
      </x:c>
      <x:c r="K252" s="48" t="str">
        <x:f>IF(D252="","",MAX(0,(Configuracion!$B$11-I252)/G252))</x:f>
      </x:c>
      <x:c r="L252" s="73" t="str">
        <x:f>IF(D252="","",C252+K252*60)</x:f>
      </x:c>
      <x:c r="M252" t="str">
        <x:f>IF(D252="","",IF(J252&gt;=Configuracion!$B$13,"DESLIZAR",IF(J252&gt;=Configuracion!$B$12,"PREPARARSE","NO DESLIZAR")))</x:f>
      </x:c>
      <x:c r="N252" s="41" t="str">
        <x:f>IF(D252="","",D252-$D$8)</x:f>
      </x:c>
      <x:c r="O252" s="46" t="str">
        <x:f>IF(D252="","",MAX(0,MIN(1,N252/Configuracion!$B$10)))</x:f>
      </x:c>
    </x:row>
    <x:row r="253">
      <x:c r="A253" s="34"/>
      <x:c r="B253" s="36"/>
      <x:c r="C253" s="72"/>
      <x:c r="D253" s="71"/>
      <x:c r="E253" s="41" t="str">
        <x:f>IF(D253="","",D253+273.15)</x:f>
      </x:c>
      <x:c r="F253" s="44" t="str">
        <x:f>IF(OR(C253="",D253="",C252=""),"",(C253-C252)/60)</x:f>
      </x:c>
      <x:c r="G253" s="44" t="str">
        <x:f>IF(D253="","",EXP(-Configuracion!$B$4/Configuracion!$B$5*(1/AVERAGE(E252:E253)-1/(Configuracion!$B$3+273.15))))</x:f>
      </x:c>
      <x:c r="H253" s="44" t="str">
        <x:f>IF(D253="","",F253*G253)</x:f>
      </x:c>
      <x:c r="I253" s="44" t="str">
        <x:f>IF(D253="","",I252+H253)</x:f>
      </x:c>
      <x:c r="J253" s="46" t="str">
        <x:f>IF(D253="","",MIN(1,I253/Configuracion!$B$11))</x:f>
      </x:c>
      <x:c r="K253" s="48" t="str">
        <x:f>IF(D253="","",MAX(0,(Configuracion!$B$11-I253)/G253))</x:f>
      </x:c>
      <x:c r="L253" s="73" t="str">
        <x:f>IF(D253="","",C253+K253*60)</x:f>
      </x:c>
      <x:c r="M253" t="str">
        <x:f>IF(D253="","",IF(J253&gt;=Configuracion!$B$13,"DESLIZAR",IF(J253&gt;=Configuracion!$B$12,"PREPARARSE","NO DESLIZAR")))</x:f>
      </x:c>
      <x:c r="N253" s="41" t="str">
        <x:f>IF(D253="","",D253-$D$8)</x:f>
      </x:c>
      <x:c r="O253" s="46" t="str">
        <x:f>IF(D253="","",MAX(0,MIN(1,N253/Configuracion!$B$10)))</x:f>
      </x:c>
    </x:row>
    <x:row r="254">
      <x:c r="A254" s="34"/>
      <x:c r="B254" s="36"/>
      <x:c r="C254" s="72"/>
      <x:c r="D254" s="71"/>
      <x:c r="E254" s="41" t="str">
        <x:f>IF(D254="","",D254+273.15)</x:f>
      </x:c>
      <x:c r="F254" s="44" t="str">
        <x:f>IF(OR(C254="",D254="",C253=""),"",(C254-C253)/60)</x:f>
      </x:c>
      <x:c r="G254" s="44" t="str">
        <x:f>IF(D254="","",EXP(-Configuracion!$B$4/Configuracion!$B$5*(1/AVERAGE(E253:E254)-1/(Configuracion!$B$3+273.15))))</x:f>
      </x:c>
      <x:c r="H254" s="44" t="str">
        <x:f>IF(D254="","",F254*G254)</x:f>
      </x:c>
      <x:c r="I254" s="44" t="str">
        <x:f>IF(D254="","",I253+H254)</x:f>
      </x:c>
      <x:c r="J254" s="46" t="str">
        <x:f>IF(D254="","",MIN(1,I254/Configuracion!$B$11))</x:f>
      </x:c>
      <x:c r="K254" s="48" t="str">
        <x:f>IF(D254="","",MAX(0,(Configuracion!$B$11-I254)/G254))</x:f>
      </x:c>
      <x:c r="L254" s="73" t="str">
        <x:f>IF(D254="","",C254+K254*60)</x:f>
      </x:c>
      <x:c r="M254" t="str">
        <x:f>IF(D254="","",IF(J254&gt;=Configuracion!$B$13,"DESLIZAR",IF(J254&gt;=Configuracion!$B$12,"PREPARARSE","NO DESLIZAR")))</x:f>
      </x:c>
      <x:c r="N254" s="41" t="str">
        <x:f>IF(D254="","",D254-$D$8)</x:f>
      </x:c>
      <x:c r="O254" s="46" t="str">
        <x:f>IF(D254="","",MAX(0,MIN(1,N254/Configuracion!$B$10)))</x:f>
      </x:c>
    </x:row>
    <x:row r="255">
      <x:c r="A255" s="34"/>
      <x:c r="B255" s="36"/>
      <x:c r="C255" s="72"/>
      <x:c r="D255" s="71"/>
      <x:c r="E255" s="41" t="str">
        <x:f>IF(D255="","",D255+273.15)</x:f>
      </x:c>
      <x:c r="F255" s="44" t="str">
        <x:f>IF(OR(C255="",D255="",C254=""),"",(C255-C254)/60)</x:f>
      </x:c>
      <x:c r="G255" s="44" t="str">
        <x:f>IF(D255="","",EXP(-Configuracion!$B$4/Configuracion!$B$5*(1/AVERAGE(E254:E255)-1/(Configuracion!$B$3+273.15))))</x:f>
      </x:c>
      <x:c r="H255" s="44" t="str">
        <x:f>IF(D255="","",F255*G255)</x:f>
      </x:c>
      <x:c r="I255" s="44" t="str">
        <x:f>IF(D255="","",I254+H255)</x:f>
      </x:c>
      <x:c r="J255" s="46" t="str">
        <x:f>IF(D255="","",MIN(1,I255/Configuracion!$B$11))</x:f>
      </x:c>
      <x:c r="K255" s="48" t="str">
        <x:f>IF(D255="","",MAX(0,(Configuracion!$B$11-I255)/G255))</x:f>
      </x:c>
      <x:c r="L255" s="73" t="str">
        <x:f>IF(D255="","",C255+K255*60)</x:f>
      </x:c>
      <x:c r="M255" t="str">
        <x:f>IF(D255="","",IF(J255&gt;=Configuracion!$B$13,"DESLIZAR",IF(J255&gt;=Configuracion!$B$12,"PREPARARSE","NO DESLIZAR")))</x:f>
      </x:c>
      <x:c r="N255" s="41" t="str">
        <x:f>IF(D255="","",D255-$D$8)</x:f>
      </x:c>
      <x:c r="O255" s="46" t="str">
        <x:f>IF(D255="","",MAX(0,MIN(1,N255/Configuracion!$B$10)))</x:f>
      </x:c>
    </x:row>
    <x:row r="256">
      <x:c r="A256" s="34"/>
      <x:c r="B256" s="36"/>
      <x:c r="C256" s="72"/>
      <x:c r="D256" s="71"/>
      <x:c r="E256" s="41" t="str">
        <x:f>IF(D256="","",D256+273.15)</x:f>
      </x:c>
      <x:c r="F256" s="44" t="str">
        <x:f>IF(OR(C256="",D256="",C255=""),"",(C256-C255)/60)</x:f>
      </x:c>
      <x:c r="G256" s="44" t="str">
        <x:f>IF(D256="","",EXP(-Configuracion!$B$4/Configuracion!$B$5*(1/AVERAGE(E255:E256)-1/(Configuracion!$B$3+273.15))))</x:f>
      </x:c>
      <x:c r="H256" s="44" t="str">
        <x:f>IF(D256="","",F256*G256)</x:f>
      </x:c>
      <x:c r="I256" s="44" t="str">
        <x:f>IF(D256="","",I255+H256)</x:f>
      </x:c>
      <x:c r="J256" s="46" t="str">
        <x:f>IF(D256="","",MIN(1,I256/Configuracion!$B$11))</x:f>
      </x:c>
      <x:c r="K256" s="48" t="str">
        <x:f>IF(D256="","",MAX(0,(Configuracion!$B$11-I256)/G256))</x:f>
      </x:c>
      <x:c r="L256" s="73" t="str">
        <x:f>IF(D256="","",C256+K256*60)</x:f>
      </x:c>
      <x:c r="M256" t="str">
        <x:f>IF(D256="","",IF(J256&gt;=Configuracion!$B$13,"DESLIZAR",IF(J256&gt;=Configuracion!$B$12,"PREPARARSE","NO DESLIZAR")))</x:f>
      </x:c>
      <x:c r="N256" s="41" t="str">
        <x:f>IF(D256="","",D256-$D$8)</x:f>
      </x:c>
      <x:c r="O256" s="46" t="str">
        <x:f>IF(D256="","",MAX(0,MIN(1,N256/Configuracion!$B$10)))</x:f>
      </x:c>
    </x:row>
    <x:row r="257">
      <x:c r="A257" s="34"/>
      <x:c r="B257" s="36"/>
      <x:c r="C257" s="72"/>
      <x:c r="D257" s="71"/>
      <x:c r="E257" s="41" t="str">
        <x:f>IF(D257="","",D257+273.15)</x:f>
      </x:c>
      <x:c r="F257" s="44" t="str">
        <x:f>IF(OR(C257="",D257="",C256=""),"",(C257-C256)/60)</x:f>
      </x:c>
      <x:c r="G257" s="44" t="str">
        <x:f>IF(D257="","",EXP(-Configuracion!$B$4/Configuracion!$B$5*(1/AVERAGE(E256:E257)-1/(Configuracion!$B$3+273.15))))</x:f>
      </x:c>
      <x:c r="H257" s="44" t="str">
        <x:f>IF(D257="","",F257*G257)</x:f>
      </x:c>
      <x:c r="I257" s="44" t="str">
        <x:f>IF(D257="","",I256+H257)</x:f>
      </x:c>
      <x:c r="J257" s="46" t="str">
        <x:f>IF(D257="","",MIN(1,I257/Configuracion!$B$11))</x:f>
      </x:c>
      <x:c r="K257" s="48" t="str">
        <x:f>IF(D257="","",MAX(0,(Configuracion!$B$11-I257)/G257))</x:f>
      </x:c>
      <x:c r="L257" s="73" t="str">
        <x:f>IF(D257="","",C257+K257*60)</x:f>
      </x:c>
      <x:c r="M257" t="str">
        <x:f>IF(D257="","",IF(J257&gt;=Configuracion!$B$13,"DESLIZAR",IF(J257&gt;=Configuracion!$B$12,"PREPARARSE","NO DESLIZAR")))</x:f>
      </x:c>
      <x:c r="N257" s="41" t="str">
        <x:f>IF(D257="","",D257-$D$8)</x:f>
      </x:c>
      <x:c r="O257" s="46" t="str">
        <x:f>IF(D257="","",MAX(0,MIN(1,N257/Configuracion!$B$10)))</x:f>
      </x:c>
    </x:row>
    <x:row r="258">
      <x:c r="A258" s="34"/>
      <x:c r="B258" s="36"/>
      <x:c r="C258" s="72"/>
      <x:c r="D258" s="71"/>
      <x:c r="E258" s="41" t="str">
        <x:f>IF(D258="","",D258+273.15)</x:f>
      </x:c>
      <x:c r="F258" s="44" t="str">
        <x:f>IF(OR(C258="",D258="",C257=""),"",(C258-C257)/60)</x:f>
      </x:c>
      <x:c r="G258" s="44" t="str">
        <x:f>IF(D258="","",EXP(-Configuracion!$B$4/Configuracion!$B$5*(1/AVERAGE(E257:E258)-1/(Configuracion!$B$3+273.15))))</x:f>
      </x:c>
      <x:c r="H258" s="44" t="str">
        <x:f>IF(D258="","",F258*G258)</x:f>
      </x:c>
      <x:c r="I258" s="44" t="str">
        <x:f>IF(D258="","",I257+H258)</x:f>
      </x:c>
      <x:c r="J258" s="46" t="str">
        <x:f>IF(D258="","",MIN(1,I258/Configuracion!$B$11))</x:f>
      </x:c>
      <x:c r="K258" s="48" t="str">
        <x:f>IF(D258="","",MAX(0,(Configuracion!$B$11-I258)/G258))</x:f>
      </x:c>
      <x:c r="L258" s="73" t="str">
        <x:f>IF(D258="","",C258+K258*60)</x:f>
      </x:c>
      <x:c r="M258" t="str">
        <x:f>IF(D258="","",IF(J258&gt;=Configuracion!$B$13,"DESLIZAR",IF(J258&gt;=Configuracion!$B$12,"PREPARARSE","NO DESLIZAR")))</x:f>
      </x:c>
      <x:c r="N258" s="41" t="str">
        <x:f>IF(D258="","",D258-$D$8)</x:f>
      </x:c>
      <x:c r="O258" s="46" t="str">
        <x:f>IF(D258="","",MAX(0,MIN(1,N258/Configuracion!$B$10)))</x:f>
      </x:c>
    </x:row>
    <x:row r="259">
      <x:c r="A259" s="34"/>
      <x:c r="B259" s="36"/>
      <x:c r="C259" s="72"/>
      <x:c r="D259" s="71"/>
      <x:c r="E259" s="41" t="str">
        <x:f>IF(D259="","",D259+273.15)</x:f>
      </x:c>
      <x:c r="F259" s="44" t="str">
        <x:f>IF(OR(C259="",D259="",C258=""),"",(C259-C258)/60)</x:f>
      </x:c>
      <x:c r="G259" s="44" t="str">
        <x:f>IF(D259="","",EXP(-Configuracion!$B$4/Configuracion!$B$5*(1/AVERAGE(E258:E259)-1/(Configuracion!$B$3+273.15))))</x:f>
      </x:c>
      <x:c r="H259" s="44" t="str">
        <x:f>IF(D259="","",F259*G259)</x:f>
      </x:c>
      <x:c r="I259" s="44" t="str">
        <x:f>IF(D259="","",I258+H259)</x:f>
      </x:c>
      <x:c r="J259" s="46" t="str">
        <x:f>IF(D259="","",MIN(1,I259/Configuracion!$B$11))</x:f>
      </x:c>
      <x:c r="K259" s="48" t="str">
        <x:f>IF(D259="","",MAX(0,(Configuracion!$B$11-I259)/G259))</x:f>
      </x:c>
      <x:c r="L259" s="73" t="str">
        <x:f>IF(D259="","",C259+K259*60)</x:f>
      </x:c>
      <x:c r="M259" t="str">
        <x:f>IF(D259="","",IF(J259&gt;=Configuracion!$B$13,"DESLIZAR",IF(J259&gt;=Configuracion!$B$12,"PREPARARSE","NO DESLIZAR")))</x:f>
      </x:c>
      <x:c r="N259" s="41" t="str">
        <x:f>IF(D259="","",D259-$D$8)</x:f>
      </x:c>
      <x:c r="O259" s="46" t="str">
        <x:f>IF(D259="","",MAX(0,MIN(1,N259/Configuracion!$B$10)))</x:f>
      </x:c>
    </x:row>
    <x:row r="260">
      <x:c r="A260" s="34"/>
      <x:c r="B260" s="36"/>
      <x:c r="C260" s="72"/>
      <x:c r="D260" s="71"/>
      <x:c r="E260" s="41" t="str">
        <x:f>IF(D260="","",D260+273.15)</x:f>
      </x:c>
      <x:c r="F260" s="44" t="str">
        <x:f>IF(OR(C260="",D260="",C259=""),"",(C260-C259)/60)</x:f>
      </x:c>
      <x:c r="G260" s="44" t="str">
        <x:f>IF(D260="","",EXP(-Configuracion!$B$4/Configuracion!$B$5*(1/AVERAGE(E259:E260)-1/(Configuracion!$B$3+273.15))))</x:f>
      </x:c>
      <x:c r="H260" s="44" t="str">
        <x:f>IF(D260="","",F260*G260)</x:f>
      </x:c>
      <x:c r="I260" s="44" t="str">
        <x:f>IF(D260="","",I259+H260)</x:f>
      </x:c>
      <x:c r="J260" s="46" t="str">
        <x:f>IF(D260="","",MIN(1,I260/Configuracion!$B$11))</x:f>
      </x:c>
      <x:c r="K260" s="48" t="str">
        <x:f>IF(D260="","",MAX(0,(Configuracion!$B$11-I260)/G260))</x:f>
      </x:c>
      <x:c r="L260" s="73" t="str">
        <x:f>IF(D260="","",C260+K260*60)</x:f>
      </x:c>
      <x:c r="M260" t="str">
        <x:f>IF(D260="","",IF(J260&gt;=Configuracion!$B$13,"DESLIZAR",IF(J260&gt;=Configuracion!$B$12,"PREPARARSE","NO DESLIZAR")))</x:f>
      </x:c>
      <x:c r="N260" s="41" t="str">
        <x:f>IF(D260="","",D260-$D$8)</x:f>
      </x:c>
      <x:c r="O260" s="46" t="str">
        <x:f>IF(D260="","",MAX(0,MIN(1,N260/Configuracion!$B$10)))</x:f>
      </x:c>
    </x:row>
    <x:row r="261">
      <x:c r="A261" s="34"/>
      <x:c r="B261" s="36"/>
      <x:c r="C261" s="72"/>
      <x:c r="D261" s="71"/>
      <x:c r="E261" s="41" t="str">
        <x:f>IF(D261="","",D261+273.15)</x:f>
      </x:c>
      <x:c r="F261" s="44" t="str">
        <x:f>IF(OR(C261="",D261="",C260=""),"",(C261-C260)/60)</x:f>
      </x:c>
      <x:c r="G261" s="44" t="str">
        <x:f>IF(D261="","",EXP(-Configuracion!$B$4/Configuracion!$B$5*(1/AVERAGE(E260:E261)-1/(Configuracion!$B$3+273.15))))</x:f>
      </x:c>
      <x:c r="H261" s="44" t="str">
        <x:f>IF(D261="","",F261*G261)</x:f>
      </x:c>
      <x:c r="I261" s="44" t="str">
        <x:f>IF(D261="","",I260+H261)</x:f>
      </x:c>
      <x:c r="J261" s="46" t="str">
        <x:f>IF(D261="","",MIN(1,I261/Configuracion!$B$11))</x:f>
      </x:c>
      <x:c r="K261" s="48" t="str">
        <x:f>IF(D261="","",MAX(0,(Configuracion!$B$11-I261)/G261))</x:f>
      </x:c>
      <x:c r="L261" s="73" t="str">
        <x:f>IF(D261="","",C261+K261*60)</x:f>
      </x:c>
      <x:c r="M261" t="str">
        <x:f>IF(D261="","",IF(J261&gt;=Configuracion!$B$13,"DESLIZAR",IF(J261&gt;=Configuracion!$B$12,"PREPARARSE","NO DESLIZAR")))</x:f>
      </x:c>
      <x:c r="N261" s="41" t="str">
        <x:f>IF(D261="","",D261-$D$8)</x:f>
      </x:c>
      <x:c r="O261" s="46" t="str">
        <x:f>IF(D261="","",MAX(0,MIN(1,N261/Configuracion!$B$10)))</x:f>
      </x:c>
    </x:row>
    <x:row r="262">
      <x:c r="A262" s="34"/>
      <x:c r="B262" s="36"/>
      <x:c r="C262" s="72"/>
      <x:c r="D262" s="71"/>
      <x:c r="E262" s="41" t="str">
        <x:f>IF(D262="","",D262+273.15)</x:f>
      </x:c>
      <x:c r="F262" s="44" t="str">
        <x:f>IF(OR(C262="",D262="",C261=""),"",(C262-C261)/60)</x:f>
      </x:c>
      <x:c r="G262" s="44" t="str">
        <x:f>IF(D262="","",EXP(-Configuracion!$B$4/Configuracion!$B$5*(1/AVERAGE(E261:E262)-1/(Configuracion!$B$3+273.15))))</x:f>
      </x:c>
      <x:c r="H262" s="44" t="str">
        <x:f>IF(D262="","",F262*G262)</x:f>
      </x:c>
      <x:c r="I262" s="44" t="str">
        <x:f>IF(D262="","",I261+H262)</x:f>
      </x:c>
      <x:c r="J262" s="46" t="str">
        <x:f>IF(D262="","",MIN(1,I262/Configuracion!$B$11))</x:f>
      </x:c>
      <x:c r="K262" s="48" t="str">
        <x:f>IF(D262="","",MAX(0,(Configuracion!$B$11-I262)/G262))</x:f>
      </x:c>
      <x:c r="L262" s="73" t="str">
        <x:f>IF(D262="","",C262+K262*60)</x:f>
      </x:c>
      <x:c r="M262" t="str">
        <x:f>IF(D262="","",IF(J262&gt;=Configuracion!$B$13,"DESLIZAR",IF(J262&gt;=Configuracion!$B$12,"PREPARARSE","NO DESLIZAR")))</x:f>
      </x:c>
      <x:c r="N262" s="41" t="str">
        <x:f>IF(D262="","",D262-$D$8)</x:f>
      </x:c>
      <x:c r="O262" s="46" t="str">
        <x:f>IF(D262="","",MAX(0,MIN(1,N262/Configuracion!$B$10)))</x:f>
      </x:c>
    </x:row>
    <x:row r="263">
      <x:c r="A263" s="34"/>
      <x:c r="B263" s="36"/>
      <x:c r="C263" s="72"/>
      <x:c r="D263" s="71"/>
      <x:c r="E263" s="41" t="str">
        <x:f>IF(D263="","",D263+273.15)</x:f>
      </x:c>
      <x:c r="F263" s="44" t="str">
        <x:f>IF(OR(C263="",D263="",C262=""),"",(C263-C262)/60)</x:f>
      </x:c>
      <x:c r="G263" s="44" t="str">
        <x:f>IF(D263="","",EXP(-Configuracion!$B$4/Configuracion!$B$5*(1/AVERAGE(E262:E263)-1/(Configuracion!$B$3+273.15))))</x:f>
      </x:c>
      <x:c r="H263" s="44" t="str">
        <x:f>IF(D263="","",F263*G263)</x:f>
      </x:c>
      <x:c r="I263" s="44" t="str">
        <x:f>IF(D263="","",I262+H263)</x:f>
      </x:c>
      <x:c r="J263" s="46" t="str">
        <x:f>IF(D263="","",MIN(1,I263/Configuracion!$B$11))</x:f>
      </x:c>
      <x:c r="K263" s="48" t="str">
        <x:f>IF(D263="","",MAX(0,(Configuracion!$B$11-I263)/G263))</x:f>
      </x:c>
      <x:c r="L263" s="73" t="str">
        <x:f>IF(D263="","",C263+K263*60)</x:f>
      </x:c>
      <x:c r="M263" t="str">
        <x:f>IF(D263="","",IF(J263&gt;=Configuracion!$B$13,"DESLIZAR",IF(J263&gt;=Configuracion!$B$12,"PREPARARSE","NO DESLIZAR")))</x:f>
      </x:c>
      <x:c r="N263" s="41" t="str">
        <x:f>IF(D263="","",D263-$D$8)</x:f>
      </x:c>
      <x:c r="O263" s="46" t="str">
        <x:f>IF(D263="","",MAX(0,MIN(1,N263/Configuracion!$B$10)))</x:f>
      </x:c>
    </x:row>
    <x:row r="264">
      <x:c r="A264" s="34"/>
      <x:c r="B264" s="36"/>
      <x:c r="C264" s="72"/>
      <x:c r="D264" s="71"/>
      <x:c r="E264" s="41" t="str">
        <x:f>IF(D264="","",D264+273.15)</x:f>
      </x:c>
      <x:c r="F264" s="44" t="str">
        <x:f>IF(OR(C264="",D264="",C263=""),"",(C264-C263)/60)</x:f>
      </x:c>
      <x:c r="G264" s="44" t="str">
        <x:f>IF(D264="","",EXP(-Configuracion!$B$4/Configuracion!$B$5*(1/AVERAGE(E263:E264)-1/(Configuracion!$B$3+273.15))))</x:f>
      </x:c>
      <x:c r="H264" s="44" t="str">
        <x:f>IF(D264="","",F264*G264)</x:f>
      </x:c>
      <x:c r="I264" s="44" t="str">
        <x:f>IF(D264="","",I263+H264)</x:f>
      </x:c>
      <x:c r="J264" s="46" t="str">
        <x:f>IF(D264="","",MIN(1,I264/Configuracion!$B$11))</x:f>
      </x:c>
      <x:c r="K264" s="48" t="str">
        <x:f>IF(D264="","",MAX(0,(Configuracion!$B$11-I264)/G264))</x:f>
      </x:c>
      <x:c r="L264" s="73" t="str">
        <x:f>IF(D264="","",C264+K264*60)</x:f>
      </x:c>
      <x:c r="M264" t="str">
        <x:f>IF(D264="","",IF(J264&gt;=Configuracion!$B$13,"DESLIZAR",IF(J264&gt;=Configuracion!$B$12,"PREPARARSE","NO DESLIZAR")))</x:f>
      </x:c>
      <x:c r="N264" s="41" t="str">
        <x:f>IF(D264="","",D264-$D$8)</x:f>
      </x:c>
      <x:c r="O264" s="46" t="str">
        <x:f>IF(D264="","",MAX(0,MIN(1,N264/Configuracion!$B$10)))</x:f>
      </x:c>
    </x:row>
    <x:row r="265">
      <x:c r="A265" s="34"/>
      <x:c r="B265" s="36"/>
      <x:c r="C265" s="72"/>
      <x:c r="D265" s="71"/>
      <x:c r="E265" s="41" t="str">
        <x:f>IF(D265="","",D265+273.15)</x:f>
      </x:c>
      <x:c r="F265" s="44" t="str">
        <x:f>IF(OR(C265="",D265="",C264=""),"",(C265-C264)/60)</x:f>
      </x:c>
      <x:c r="G265" s="44" t="str">
        <x:f>IF(D265="","",EXP(-Configuracion!$B$4/Configuracion!$B$5*(1/AVERAGE(E264:E265)-1/(Configuracion!$B$3+273.15))))</x:f>
      </x:c>
      <x:c r="H265" s="44" t="str">
        <x:f>IF(D265="","",F265*G265)</x:f>
      </x:c>
      <x:c r="I265" s="44" t="str">
        <x:f>IF(D265="","",I264+H265)</x:f>
      </x:c>
      <x:c r="J265" s="46" t="str">
        <x:f>IF(D265="","",MIN(1,I265/Configuracion!$B$11))</x:f>
      </x:c>
      <x:c r="K265" s="48" t="str">
        <x:f>IF(D265="","",MAX(0,(Configuracion!$B$11-I265)/G265))</x:f>
      </x:c>
      <x:c r="L265" s="73" t="str">
        <x:f>IF(D265="","",C265+K265*60)</x:f>
      </x:c>
      <x:c r="M265" t="str">
        <x:f>IF(D265="","",IF(J265&gt;=Configuracion!$B$13,"DESLIZAR",IF(J265&gt;=Configuracion!$B$12,"PREPARARSE","NO DESLIZAR")))</x:f>
      </x:c>
      <x:c r="N265" s="41" t="str">
        <x:f>IF(D265="","",D265-$D$8)</x:f>
      </x:c>
      <x:c r="O265" s="46" t="str">
        <x:f>IF(D265="","",MAX(0,MIN(1,N265/Configuracion!$B$10)))</x:f>
      </x:c>
    </x:row>
    <x:row r="266">
      <x:c r="A266" s="34"/>
      <x:c r="B266" s="36"/>
      <x:c r="C266" s="72"/>
      <x:c r="D266" s="71"/>
      <x:c r="E266" s="41" t="str">
        <x:f>IF(D266="","",D266+273.15)</x:f>
      </x:c>
      <x:c r="F266" s="44" t="str">
        <x:f>IF(OR(C266="",D266="",C265=""),"",(C266-C265)/60)</x:f>
      </x:c>
      <x:c r="G266" s="44" t="str">
        <x:f>IF(D266="","",EXP(-Configuracion!$B$4/Configuracion!$B$5*(1/AVERAGE(E265:E266)-1/(Configuracion!$B$3+273.15))))</x:f>
      </x:c>
      <x:c r="H266" s="44" t="str">
        <x:f>IF(D266="","",F266*G266)</x:f>
      </x:c>
      <x:c r="I266" s="44" t="str">
        <x:f>IF(D266="","",I265+H266)</x:f>
      </x:c>
      <x:c r="J266" s="46" t="str">
        <x:f>IF(D266="","",MIN(1,I266/Configuracion!$B$11))</x:f>
      </x:c>
      <x:c r="K266" s="48" t="str">
        <x:f>IF(D266="","",MAX(0,(Configuracion!$B$11-I266)/G266))</x:f>
      </x:c>
      <x:c r="L266" s="73" t="str">
        <x:f>IF(D266="","",C266+K266*60)</x:f>
      </x:c>
      <x:c r="M266" t="str">
        <x:f>IF(D266="","",IF(J266&gt;=Configuracion!$B$13,"DESLIZAR",IF(J266&gt;=Configuracion!$B$12,"PREPARARSE","NO DESLIZAR")))</x:f>
      </x:c>
      <x:c r="N266" s="41" t="str">
        <x:f>IF(D266="","",D266-$D$8)</x:f>
      </x:c>
      <x:c r="O266" s="46" t="str">
        <x:f>IF(D266="","",MAX(0,MIN(1,N266/Configuracion!$B$10)))</x:f>
      </x:c>
    </x:row>
    <x:row r="267">
      <x:c r="A267" s="34"/>
      <x:c r="B267" s="36"/>
      <x:c r="C267" s="72"/>
      <x:c r="D267" s="71"/>
      <x:c r="E267" s="41" t="str">
        <x:f>IF(D267="","",D267+273.15)</x:f>
      </x:c>
      <x:c r="F267" s="44" t="str">
        <x:f>IF(OR(C267="",D267="",C266=""),"",(C267-C266)/60)</x:f>
      </x:c>
      <x:c r="G267" s="44" t="str">
        <x:f>IF(D267="","",EXP(-Configuracion!$B$4/Configuracion!$B$5*(1/AVERAGE(E266:E267)-1/(Configuracion!$B$3+273.15))))</x:f>
      </x:c>
      <x:c r="H267" s="44" t="str">
        <x:f>IF(D267="","",F267*G267)</x:f>
      </x:c>
      <x:c r="I267" s="44" t="str">
        <x:f>IF(D267="","",I266+H267)</x:f>
      </x:c>
      <x:c r="J267" s="46" t="str">
        <x:f>IF(D267="","",MIN(1,I267/Configuracion!$B$11))</x:f>
      </x:c>
      <x:c r="K267" s="48" t="str">
        <x:f>IF(D267="","",MAX(0,(Configuracion!$B$11-I267)/G267))</x:f>
      </x:c>
      <x:c r="L267" s="73" t="str">
        <x:f>IF(D267="","",C267+K267*60)</x:f>
      </x:c>
      <x:c r="M267" t="str">
        <x:f>IF(D267="","",IF(J267&gt;=Configuracion!$B$13,"DESLIZAR",IF(J267&gt;=Configuracion!$B$12,"PREPARARSE","NO DESLIZAR")))</x:f>
      </x:c>
      <x:c r="N267" s="41" t="str">
        <x:f>IF(D267="","",D267-$D$8)</x:f>
      </x:c>
      <x:c r="O267" s="46" t="str">
        <x:f>IF(D267="","",MAX(0,MIN(1,N267/Configuracion!$B$10)))</x:f>
      </x:c>
    </x:row>
    <x:row r="268">
      <x:c r="A268" s="34"/>
      <x:c r="B268" s="36"/>
      <x:c r="C268" s="72"/>
      <x:c r="D268" s="71"/>
      <x:c r="E268" s="41" t="str">
        <x:f>IF(D268="","",D268+273.15)</x:f>
      </x:c>
      <x:c r="F268" s="44" t="str">
        <x:f>IF(OR(C268="",D268="",C267=""),"",(C268-C267)/60)</x:f>
      </x:c>
      <x:c r="G268" s="44" t="str">
        <x:f>IF(D268="","",EXP(-Configuracion!$B$4/Configuracion!$B$5*(1/AVERAGE(E267:E268)-1/(Configuracion!$B$3+273.15))))</x:f>
      </x:c>
      <x:c r="H268" s="44" t="str">
        <x:f>IF(D268="","",F268*G268)</x:f>
      </x:c>
      <x:c r="I268" s="44" t="str">
        <x:f>IF(D268="","",I267+H268)</x:f>
      </x:c>
      <x:c r="J268" s="46" t="str">
        <x:f>IF(D268="","",MIN(1,I268/Configuracion!$B$11))</x:f>
      </x:c>
      <x:c r="K268" s="48" t="str">
        <x:f>IF(D268="","",MAX(0,(Configuracion!$B$11-I268)/G268))</x:f>
      </x:c>
      <x:c r="L268" s="73" t="str">
        <x:f>IF(D268="","",C268+K268*60)</x:f>
      </x:c>
      <x:c r="M268" t="str">
        <x:f>IF(D268="","",IF(J268&gt;=Configuracion!$B$13,"DESLIZAR",IF(J268&gt;=Configuracion!$B$12,"PREPARARSE","NO DESLIZAR")))</x:f>
      </x:c>
      <x:c r="N268" s="41" t="str">
        <x:f>IF(D268="","",D268-$D$8)</x:f>
      </x:c>
      <x:c r="O268" s="46" t="str">
        <x:f>IF(D268="","",MAX(0,MIN(1,N268/Configuracion!$B$10)))</x:f>
      </x:c>
    </x:row>
    <x:row r="269">
      <x:c r="A269" s="34"/>
      <x:c r="B269" s="36"/>
      <x:c r="C269" s="72"/>
      <x:c r="D269" s="71"/>
      <x:c r="E269" s="41" t="str">
        <x:f>IF(D269="","",D269+273.15)</x:f>
      </x:c>
      <x:c r="F269" s="44" t="str">
        <x:f>IF(OR(C269="",D269="",C268=""),"",(C269-C268)/60)</x:f>
      </x:c>
      <x:c r="G269" s="44" t="str">
        <x:f>IF(D269="","",EXP(-Configuracion!$B$4/Configuracion!$B$5*(1/AVERAGE(E268:E269)-1/(Configuracion!$B$3+273.15))))</x:f>
      </x:c>
      <x:c r="H269" s="44" t="str">
        <x:f>IF(D269="","",F269*G269)</x:f>
      </x:c>
      <x:c r="I269" s="44" t="str">
        <x:f>IF(D269="","",I268+H269)</x:f>
      </x:c>
      <x:c r="J269" s="46" t="str">
        <x:f>IF(D269="","",MIN(1,I269/Configuracion!$B$11))</x:f>
      </x:c>
      <x:c r="K269" s="48" t="str">
        <x:f>IF(D269="","",MAX(0,(Configuracion!$B$11-I269)/G269))</x:f>
      </x:c>
      <x:c r="L269" s="73" t="str">
        <x:f>IF(D269="","",C269+K269*60)</x:f>
      </x:c>
      <x:c r="M269" t="str">
        <x:f>IF(D269="","",IF(J269&gt;=Configuracion!$B$13,"DESLIZAR",IF(J269&gt;=Configuracion!$B$12,"PREPARARSE","NO DESLIZAR")))</x:f>
      </x:c>
      <x:c r="N269" s="41" t="str">
        <x:f>IF(D269="","",D269-$D$8)</x:f>
      </x:c>
      <x:c r="O269" s="46" t="str">
        <x:f>IF(D269="","",MAX(0,MIN(1,N269/Configuracion!$B$10)))</x:f>
      </x:c>
    </x:row>
    <x:row r="270">
      <x:c r="A270" s="34"/>
      <x:c r="B270" s="36"/>
      <x:c r="C270" s="72"/>
      <x:c r="D270" s="71"/>
      <x:c r="E270" s="41" t="str">
        <x:f>IF(D270="","",D270+273.15)</x:f>
      </x:c>
      <x:c r="F270" s="44" t="str">
        <x:f>IF(OR(C270="",D270="",C269=""),"",(C270-C269)/60)</x:f>
      </x:c>
      <x:c r="G270" s="44" t="str">
        <x:f>IF(D270="","",EXP(-Configuracion!$B$4/Configuracion!$B$5*(1/AVERAGE(E269:E270)-1/(Configuracion!$B$3+273.15))))</x:f>
      </x:c>
      <x:c r="H270" s="44" t="str">
        <x:f>IF(D270="","",F270*G270)</x:f>
      </x:c>
      <x:c r="I270" s="44" t="str">
        <x:f>IF(D270="","",I269+H270)</x:f>
      </x:c>
      <x:c r="J270" s="46" t="str">
        <x:f>IF(D270="","",MIN(1,I270/Configuracion!$B$11))</x:f>
      </x:c>
      <x:c r="K270" s="48" t="str">
        <x:f>IF(D270="","",MAX(0,(Configuracion!$B$11-I270)/G270))</x:f>
      </x:c>
      <x:c r="L270" s="73" t="str">
        <x:f>IF(D270="","",C270+K270*60)</x:f>
      </x:c>
      <x:c r="M270" t="str">
        <x:f>IF(D270="","",IF(J270&gt;=Configuracion!$B$13,"DESLIZAR",IF(J270&gt;=Configuracion!$B$12,"PREPARARSE","NO DESLIZAR")))</x:f>
      </x:c>
      <x:c r="N270" s="41" t="str">
        <x:f>IF(D270="","",D270-$D$8)</x:f>
      </x:c>
      <x:c r="O270" s="46" t="str">
        <x:f>IF(D270="","",MAX(0,MIN(1,N270/Configuracion!$B$10)))</x:f>
      </x:c>
    </x:row>
    <x:row r="271">
      <x:c r="A271" s="34"/>
      <x:c r="B271" s="36"/>
      <x:c r="C271" s="72"/>
      <x:c r="D271" s="71"/>
      <x:c r="E271" s="41" t="str">
        <x:f>IF(D271="","",D271+273.15)</x:f>
      </x:c>
      <x:c r="F271" s="44" t="str">
        <x:f>IF(OR(C271="",D271="",C270=""),"",(C271-C270)/60)</x:f>
      </x:c>
      <x:c r="G271" s="44" t="str">
        <x:f>IF(D271="","",EXP(-Configuracion!$B$4/Configuracion!$B$5*(1/AVERAGE(E270:E271)-1/(Configuracion!$B$3+273.15))))</x:f>
      </x:c>
      <x:c r="H271" s="44" t="str">
        <x:f>IF(D271="","",F271*G271)</x:f>
      </x:c>
      <x:c r="I271" s="44" t="str">
        <x:f>IF(D271="","",I270+H271)</x:f>
      </x:c>
      <x:c r="J271" s="46" t="str">
        <x:f>IF(D271="","",MIN(1,I271/Configuracion!$B$11))</x:f>
      </x:c>
      <x:c r="K271" s="48" t="str">
        <x:f>IF(D271="","",MAX(0,(Configuracion!$B$11-I271)/G271))</x:f>
      </x:c>
      <x:c r="L271" s="73" t="str">
        <x:f>IF(D271="","",C271+K271*60)</x:f>
      </x:c>
      <x:c r="M271" t="str">
        <x:f>IF(D271="","",IF(J271&gt;=Configuracion!$B$13,"DESLIZAR",IF(J271&gt;=Configuracion!$B$12,"PREPARARSE","NO DESLIZAR")))</x:f>
      </x:c>
      <x:c r="N271" s="41" t="str">
        <x:f>IF(D271="","",D271-$D$8)</x:f>
      </x:c>
      <x:c r="O271" s="46" t="str">
        <x:f>IF(D271="","",MAX(0,MIN(1,N271/Configuracion!$B$10)))</x:f>
      </x:c>
    </x:row>
    <x:row r="272">
      <x:c r="A272" s="34"/>
      <x:c r="B272" s="36"/>
      <x:c r="C272" s="72"/>
      <x:c r="D272" s="71"/>
      <x:c r="E272" s="41" t="str">
        <x:f>IF(D272="","",D272+273.15)</x:f>
      </x:c>
      <x:c r="F272" s="44" t="str">
        <x:f>IF(OR(C272="",D272="",C271=""),"",(C272-C271)/60)</x:f>
      </x:c>
      <x:c r="G272" s="44" t="str">
        <x:f>IF(D272="","",EXP(-Configuracion!$B$4/Configuracion!$B$5*(1/AVERAGE(E271:E272)-1/(Configuracion!$B$3+273.15))))</x:f>
      </x:c>
      <x:c r="H272" s="44" t="str">
        <x:f>IF(D272="","",F272*G272)</x:f>
      </x:c>
      <x:c r="I272" s="44" t="str">
        <x:f>IF(D272="","",I271+H272)</x:f>
      </x:c>
      <x:c r="J272" s="46" t="str">
        <x:f>IF(D272="","",MIN(1,I272/Configuracion!$B$11))</x:f>
      </x:c>
      <x:c r="K272" s="48" t="str">
        <x:f>IF(D272="","",MAX(0,(Configuracion!$B$11-I272)/G272))</x:f>
      </x:c>
      <x:c r="L272" s="73" t="str">
        <x:f>IF(D272="","",C272+K272*60)</x:f>
      </x:c>
      <x:c r="M272" t="str">
        <x:f>IF(D272="","",IF(J272&gt;=Configuracion!$B$13,"DESLIZAR",IF(J272&gt;=Configuracion!$B$12,"PREPARARSE","NO DESLIZAR")))</x:f>
      </x:c>
      <x:c r="N272" s="41" t="str">
        <x:f>IF(D272="","",D272-$D$8)</x:f>
      </x:c>
      <x:c r="O272" s="46" t="str">
        <x:f>IF(D272="","",MAX(0,MIN(1,N272/Configuracion!$B$10)))</x:f>
      </x:c>
    </x:row>
    <x:row r="273">
      <x:c r="A273" s="34"/>
      <x:c r="B273" s="36"/>
      <x:c r="C273" s="72"/>
      <x:c r="D273" s="71"/>
      <x:c r="E273" s="41" t="str">
        <x:f>IF(D273="","",D273+273.15)</x:f>
      </x:c>
      <x:c r="F273" s="44" t="str">
        <x:f>IF(OR(C273="",D273="",C272=""),"",(C273-C272)/60)</x:f>
      </x:c>
      <x:c r="G273" s="44" t="str">
        <x:f>IF(D273="","",EXP(-Configuracion!$B$4/Configuracion!$B$5*(1/AVERAGE(E272:E273)-1/(Configuracion!$B$3+273.15))))</x:f>
      </x:c>
      <x:c r="H273" s="44" t="str">
        <x:f>IF(D273="","",F273*G273)</x:f>
      </x:c>
      <x:c r="I273" s="44" t="str">
        <x:f>IF(D273="","",I272+H273)</x:f>
      </x:c>
      <x:c r="J273" s="46" t="str">
        <x:f>IF(D273="","",MIN(1,I273/Configuracion!$B$11))</x:f>
      </x:c>
      <x:c r="K273" s="48" t="str">
        <x:f>IF(D273="","",MAX(0,(Configuracion!$B$11-I273)/G273))</x:f>
      </x:c>
      <x:c r="L273" s="73" t="str">
        <x:f>IF(D273="","",C273+K273*60)</x:f>
      </x:c>
      <x:c r="M273" t="str">
        <x:f>IF(D273="","",IF(J273&gt;=Configuracion!$B$13,"DESLIZAR",IF(J273&gt;=Configuracion!$B$12,"PREPARARSE","NO DESLIZAR")))</x:f>
      </x:c>
      <x:c r="N273" s="41" t="str">
        <x:f>IF(D273="","",D273-$D$8)</x:f>
      </x:c>
      <x:c r="O273" s="46" t="str">
        <x:f>IF(D273="","",MAX(0,MIN(1,N273/Configuracion!$B$10)))</x:f>
      </x:c>
    </x:row>
    <x:row r="274">
      <x:c r="A274" s="34"/>
      <x:c r="B274" s="36"/>
      <x:c r="C274" s="72"/>
      <x:c r="D274" s="71"/>
      <x:c r="E274" s="41" t="str">
        <x:f>IF(D274="","",D274+273.15)</x:f>
      </x:c>
      <x:c r="F274" s="44" t="str">
        <x:f>IF(OR(C274="",D274="",C273=""),"",(C274-C273)/60)</x:f>
      </x:c>
      <x:c r="G274" s="44" t="str">
        <x:f>IF(D274="","",EXP(-Configuracion!$B$4/Configuracion!$B$5*(1/AVERAGE(E273:E274)-1/(Configuracion!$B$3+273.15))))</x:f>
      </x:c>
      <x:c r="H274" s="44" t="str">
        <x:f>IF(D274="","",F274*G274)</x:f>
      </x:c>
      <x:c r="I274" s="44" t="str">
        <x:f>IF(D274="","",I273+H274)</x:f>
      </x:c>
      <x:c r="J274" s="46" t="str">
        <x:f>IF(D274="","",MIN(1,I274/Configuracion!$B$11))</x:f>
      </x:c>
      <x:c r="K274" s="48" t="str">
        <x:f>IF(D274="","",MAX(0,(Configuracion!$B$11-I274)/G274))</x:f>
      </x:c>
      <x:c r="L274" s="73" t="str">
        <x:f>IF(D274="","",C274+K274*60)</x:f>
      </x:c>
      <x:c r="M274" t="str">
        <x:f>IF(D274="","",IF(J274&gt;=Configuracion!$B$13,"DESLIZAR",IF(J274&gt;=Configuracion!$B$12,"PREPARARSE","NO DESLIZAR")))</x:f>
      </x:c>
      <x:c r="N274" s="41" t="str">
        <x:f>IF(D274="","",D274-$D$8)</x:f>
      </x:c>
      <x:c r="O274" s="46" t="str">
        <x:f>IF(D274="","",MAX(0,MIN(1,N274/Configuracion!$B$10)))</x:f>
      </x:c>
    </x:row>
    <x:row r="275">
      <x:c r="A275" s="34"/>
      <x:c r="B275" s="36"/>
      <x:c r="C275" s="72"/>
      <x:c r="D275" s="71"/>
      <x:c r="E275" s="41" t="str">
        <x:f>IF(D275="","",D275+273.15)</x:f>
      </x:c>
      <x:c r="F275" s="44" t="str">
        <x:f>IF(OR(C275="",D275="",C274=""),"",(C275-C274)/60)</x:f>
      </x:c>
      <x:c r="G275" s="44" t="str">
        <x:f>IF(D275="","",EXP(-Configuracion!$B$4/Configuracion!$B$5*(1/AVERAGE(E274:E275)-1/(Configuracion!$B$3+273.15))))</x:f>
      </x:c>
      <x:c r="H275" s="44" t="str">
        <x:f>IF(D275="","",F275*G275)</x:f>
      </x:c>
      <x:c r="I275" s="44" t="str">
        <x:f>IF(D275="","",I274+H275)</x:f>
      </x:c>
      <x:c r="J275" s="46" t="str">
        <x:f>IF(D275="","",MIN(1,I275/Configuracion!$B$11))</x:f>
      </x:c>
      <x:c r="K275" s="48" t="str">
        <x:f>IF(D275="","",MAX(0,(Configuracion!$B$11-I275)/G275))</x:f>
      </x:c>
      <x:c r="L275" s="73" t="str">
        <x:f>IF(D275="","",C275+K275*60)</x:f>
      </x:c>
      <x:c r="M275" t="str">
        <x:f>IF(D275="","",IF(J275&gt;=Configuracion!$B$13,"DESLIZAR",IF(J275&gt;=Configuracion!$B$12,"PREPARARSE","NO DESLIZAR")))</x:f>
      </x:c>
      <x:c r="N275" s="41" t="str">
        <x:f>IF(D275="","",D275-$D$8)</x:f>
      </x:c>
      <x:c r="O275" s="46" t="str">
        <x:f>IF(D275="","",MAX(0,MIN(1,N275/Configuracion!$B$10)))</x:f>
      </x:c>
    </x:row>
    <x:row r="276">
      <x:c r="A276" s="34"/>
      <x:c r="B276" s="36"/>
      <x:c r="C276" s="72"/>
      <x:c r="D276" s="71"/>
      <x:c r="E276" s="41" t="str">
        <x:f>IF(D276="","",D276+273.15)</x:f>
      </x:c>
      <x:c r="F276" s="44" t="str">
        <x:f>IF(OR(C276="",D276="",C275=""),"",(C276-C275)/60)</x:f>
      </x:c>
      <x:c r="G276" s="44" t="str">
        <x:f>IF(D276="","",EXP(-Configuracion!$B$4/Configuracion!$B$5*(1/AVERAGE(E275:E276)-1/(Configuracion!$B$3+273.15))))</x:f>
      </x:c>
      <x:c r="H276" s="44" t="str">
        <x:f>IF(D276="","",F276*G276)</x:f>
      </x:c>
      <x:c r="I276" s="44" t="str">
        <x:f>IF(D276="","",I275+H276)</x:f>
      </x:c>
      <x:c r="J276" s="46" t="str">
        <x:f>IF(D276="","",MIN(1,I276/Configuracion!$B$11))</x:f>
      </x:c>
      <x:c r="K276" s="48" t="str">
        <x:f>IF(D276="","",MAX(0,(Configuracion!$B$11-I276)/G276))</x:f>
      </x:c>
      <x:c r="L276" s="73" t="str">
        <x:f>IF(D276="","",C276+K276*60)</x:f>
      </x:c>
      <x:c r="M276" t="str">
        <x:f>IF(D276="","",IF(J276&gt;=Configuracion!$B$13,"DESLIZAR",IF(J276&gt;=Configuracion!$B$12,"PREPARARSE","NO DESLIZAR")))</x:f>
      </x:c>
      <x:c r="N276" s="41" t="str">
        <x:f>IF(D276="","",D276-$D$8)</x:f>
      </x:c>
      <x:c r="O276" s="46" t="str">
        <x:f>IF(D276="","",MAX(0,MIN(1,N276/Configuracion!$B$10)))</x:f>
      </x:c>
    </x:row>
    <x:row r="277">
      <x:c r="A277" s="34"/>
      <x:c r="B277" s="36"/>
      <x:c r="C277" s="72"/>
      <x:c r="D277" s="71"/>
      <x:c r="E277" s="41" t="str">
        <x:f>IF(D277="","",D277+273.15)</x:f>
      </x:c>
      <x:c r="F277" s="44" t="str">
        <x:f>IF(OR(C277="",D277="",C276=""),"",(C277-C276)/60)</x:f>
      </x:c>
      <x:c r="G277" s="44" t="str">
        <x:f>IF(D277="","",EXP(-Configuracion!$B$4/Configuracion!$B$5*(1/AVERAGE(E276:E277)-1/(Configuracion!$B$3+273.15))))</x:f>
      </x:c>
      <x:c r="H277" s="44" t="str">
        <x:f>IF(D277="","",F277*G277)</x:f>
      </x:c>
      <x:c r="I277" s="44" t="str">
        <x:f>IF(D277="","",I276+H277)</x:f>
      </x:c>
      <x:c r="J277" s="46" t="str">
        <x:f>IF(D277="","",MIN(1,I277/Configuracion!$B$11))</x:f>
      </x:c>
      <x:c r="K277" s="48" t="str">
        <x:f>IF(D277="","",MAX(0,(Configuracion!$B$11-I277)/G277))</x:f>
      </x:c>
      <x:c r="L277" s="73" t="str">
        <x:f>IF(D277="","",C277+K277*60)</x:f>
      </x:c>
      <x:c r="M277" t="str">
        <x:f>IF(D277="","",IF(J277&gt;=Configuracion!$B$13,"DESLIZAR",IF(J277&gt;=Configuracion!$B$12,"PREPARARSE","NO DESLIZAR")))</x:f>
      </x:c>
      <x:c r="N277" s="41" t="str">
        <x:f>IF(D277="","",D277-$D$8)</x:f>
      </x:c>
      <x:c r="O277" s="46" t="str">
        <x:f>IF(D277="","",MAX(0,MIN(1,N277/Configuracion!$B$10)))</x:f>
      </x:c>
    </x:row>
    <x:row r="278">
      <x:c r="A278" s="34"/>
      <x:c r="B278" s="36"/>
      <x:c r="C278" s="72"/>
      <x:c r="D278" s="71"/>
      <x:c r="E278" s="41" t="str">
        <x:f>IF(D278="","",D278+273.15)</x:f>
      </x:c>
      <x:c r="F278" s="44" t="str">
        <x:f>IF(OR(C278="",D278="",C277=""),"",(C278-C277)/60)</x:f>
      </x:c>
      <x:c r="G278" s="44" t="str">
        <x:f>IF(D278="","",EXP(-Configuracion!$B$4/Configuracion!$B$5*(1/AVERAGE(E277:E278)-1/(Configuracion!$B$3+273.15))))</x:f>
      </x:c>
      <x:c r="H278" s="44" t="str">
        <x:f>IF(D278="","",F278*G278)</x:f>
      </x:c>
      <x:c r="I278" s="44" t="str">
        <x:f>IF(D278="","",I277+H278)</x:f>
      </x:c>
      <x:c r="J278" s="46" t="str">
        <x:f>IF(D278="","",MIN(1,I278/Configuracion!$B$11))</x:f>
      </x:c>
      <x:c r="K278" s="48" t="str">
        <x:f>IF(D278="","",MAX(0,(Configuracion!$B$11-I278)/G278))</x:f>
      </x:c>
      <x:c r="L278" s="73" t="str">
        <x:f>IF(D278="","",C278+K278*60)</x:f>
      </x:c>
      <x:c r="M278" t="str">
        <x:f>IF(D278="","",IF(J278&gt;=Configuracion!$B$13,"DESLIZAR",IF(J278&gt;=Configuracion!$B$12,"PREPARARSE","NO DESLIZAR")))</x:f>
      </x:c>
      <x:c r="N278" s="41" t="str">
        <x:f>IF(D278="","",D278-$D$8)</x:f>
      </x:c>
      <x:c r="O278" s="46" t="str">
        <x:f>IF(D278="","",MAX(0,MIN(1,N278/Configuracion!$B$10)))</x:f>
      </x:c>
    </x:row>
    <x:row r="279">
      <x:c r="A279" s="34"/>
      <x:c r="B279" s="36"/>
      <x:c r="C279" s="72"/>
      <x:c r="D279" s="71"/>
      <x:c r="E279" s="41" t="str">
        <x:f>IF(D279="","",D279+273.15)</x:f>
      </x:c>
      <x:c r="F279" s="44" t="str">
        <x:f>IF(OR(C279="",D279="",C278=""),"",(C279-C278)/60)</x:f>
      </x:c>
      <x:c r="G279" s="44" t="str">
        <x:f>IF(D279="","",EXP(-Configuracion!$B$4/Configuracion!$B$5*(1/AVERAGE(E278:E279)-1/(Configuracion!$B$3+273.15))))</x:f>
      </x:c>
      <x:c r="H279" s="44" t="str">
        <x:f>IF(D279="","",F279*G279)</x:f>
      </x:c>
      <x:c r="I279" s="44" t="str">
        <x:f>IF(D279="","",I278+H279)</x:f>
      </x:c>
      <x:c r="J279" s="46" t="str">
        <x:f>IF(D279="","",MIN(1,I279/Configuracion!$B$11))</x:f>
      </x:c>
      <x:c r="K279" s="48" t="str">
        <x:f>IF(D279="","",MAX(0,(Configuracion!$B$11-I279)/G279))</x:f>
      </x:c>
      <x:c r="L279" s="73" t="str">
        <x:f>IF(D279="","",C279+K279*60)</x:f>
      </x:c>
      <x:c r="M279" t="str">
        <x:f>IF(D279="","",IF(J279&gt;=Configuracion!$B$13,"DESLIZAR",IF(J279&gt;=Configuracion!$B$12,"PREPARARSE","NO DESLIZAR")))</x:f>
      </x:c>
      <x:c r="N279" s="41" t="str">
        <x:f>IF(D279="","",D279-$D$8)</x:f>
      </x:c>
      <x:c r="O279" s="46" t="str">
        <x:f>IF(D279="","",MAX(0,MIN(1,N279/Configuracion!$B$10)))</x:f>
      </x:c>
    </x:row>
    <x:row r="280">
      <x:c r="A280" s="34"/>
      <x:c r="B280" s="36"/>
      <x:c r="C280" s="72"/>
      <x:c r="D280" s="71"/>
      <x:c r="E280" s="41" t="str">
        <x:f>IF(D280="","",D280+273.15)</x:f>
      </x:c>
      <x:c r="F280" s="44" t="str">
        <x:f>IF(OR(C280="",D280="",C279=""),"",(C280-C279)/60)</x:f>
      </x:c>
      <x:c r="G280" s="44" t="str">
        <x:f>IF(D280="","",EXP(-Configuracion!$B$4/Configuracion!$B$5*(1/AVERAGE(E279:E280)-1/(Configuracion!$B$3+273.15))))</x:f>
      </x:c>
      <x:c r="H280" s="44" t="str">
        <x:f>IF(D280="","",F280*G280)</x:f>
      </x:c>
      <x:c r="I280" s="44" t="str">
        <x:f>IF(D280="","",I279+H280)</x:f>
      </x:c>
      <x:c r="J280" s="46" t="str">
        <x:f>IF(D280="","",MIN(1,I280/Configuracion!$B$11))</x:f>
      </x:c>
      <x:c r="K280" s="48" t="str">
        <x:f>IF(D280="","",MAX(0,(Configuracion!$B$11-I280)/G280))</x:f>
      </x:c>
      <x:c r="L280" s="73" t="str">
        <x:f>IF(D280="","",C280+K280*60)</x:f>
      </x:c>
      <x:c r="M280" t="str">
        <x:f>IF(D280="","",IF(J280&gt;=Configuracion!$B$13,"DESLIZAR",IF(J280&gt;=Configuracion!$B$12,"PREPARARSE","NO DESLIZAR")))</x:f>
      </x:c>
      <x:c r="N280" s="41" t="str">
        <x:f>IF(D280="","",D280-$D$8)</x:f>
      </x:c>
      <x:c r="O280" s="46" t="str">
        <x:f>IF(D280="","",MAX(0,MIN(1,N280/Configuracion!$B$10)))</x:f>
      </x:c>
    </x:row>
    <x:row r="281">
      <x:c r="A281" s="34"/>
      <x:c r="B281" s="36"/>
      <x:c r="C281" s="72"/>
      <x:c r="D281" s="71"/>
      <x:c r="E281" s="41" t="str">
        <x:f>IF(D281="","",D281+273.15)</x:f>
      </x:c>
      <x:c r="F281" s="44" t="str">
        <x:f>IF(OR(C281="",D281="",C280=""),"",(C281-C280)/60)</x:f>
      </x:c>
      <x:c r="G281" s="44" t="str">
        <x:f>IF(D281="","",EXP(-Configuracion!$B$4/Configuracion!$B$5*(1/AVERAGE(E280:E281)-1/(Configuracion!$B$3+273.15))))</x:f>
      </x:c>
      <x:c r="H281" s="44" t="str">
        <x:f>IF(D281="","",F281*G281)</x:f>
      </x:c>
      <x:c r="I281" s="44" t="str">
        <x:f>IF(D281="","",I280+H281)</x:f>
      </x:c>
      <x:c r="J281" s="46" t="str">
        <x:f>IF(D281="","",MIN(1,I281/Configuracion!$B$11))</x:f>
      </x:c>
      <x:c r="K281" s="48" t="str">
        <x:f>IF(D281="","",MAX(0,(Configuracion!$B$11-I281)/G281))</x:f>
      </x:c>
      <x:c r="L281" s="73" t="str">
        <x:f>IF(D281="","",C281+K281*60)</x:f>
      </x:c>
      <x:c r="M281" t="str">
        <x:f>IF(D281="","",IF(J281&gt;=Configuracion!$B$13,"DESLIZAR",IF(J281&gt;=Configuracion!$B$12,"PREPARARSE","NO DESLIZAR")))</x:f>
      </x:c>
      <x:c r="N281" s="41" t="str">
        <x:f>IF(D281="","",D281-$D$8)</x:f>
      </x:c>
      <x:c r="O281" s="46" t="str">
        <x:f>IF(D281="","",MAX(0,MIN(1,N281/Configuracion!$B$10)))</x:f>
      </x:c>
    </x:row>
    <x:row r="282">
      <x:c r="A282" s="34"/>
      <x:c r="B282" s="36"/>
      <x:c r="C282" s="72"/>
      <x:c r="D282" s="71"/>
      <x:c r="E282" s="41" t="str">
        <x:f>IF(D282="","",D282+273.15)</x:f>
      </x:c>
      <x:c r="F282" s="44" t="str">
        <x:f>IF(OR(C282="",D282="",C281=""),"",(C282-C281)/60)</x:f>
      </x:c>
      <x:c r="G282" s="44" t="str">
        <x:f>IF(D282="","",EXP(-Configuracion!$B$4/Configuracion!$B$5*(1/AVERAGE(E281:E282)-1/(Configuracion!$B$3+273.15))))</x:f>
      </x:c>
      <x:c r="H282" s="44" t="str">
        <x:f>IF(D282="","",F282*G282)</x:f>
      </x:c>
      <x:c r="I282" s="44" t="str">
        <x:f>IF(D282="","",I281+H282)</x:f>
      </x:c>
      <x:c r="J282" s="46" t="str">
        <x:f>IF(D282="","",MIN(1,I282/Configuracion!$B$11))</x:f>
      </x:c>
      <x:c r="K282" s="48" t="str">
        <x:f>IF(D282="","",MAX(0,(Configuracion!$B$11-I282)/G282))</x:f>
      </x:c>
      <x:c r="L282" s="73" t="str">
        <x:f>IF(D282="","",C282+K282*60)</x:f>
      </x:c>
      <x:c r="M282" t="str">
        <x:f>IF(D282="","",IF(J282&gt;=Configuracion!$B$13,"DESLIZAR",IF(J282&gt;=Configuracion!$B$12,"PREPARARSE","NO DESLIZAR")))</x:f>
      </x:c>
      <x:c r="N282" s="41" t="str">
        <x:f>IF(D282="","",D282-$D$8)</x:f>
      </x:c>
      <x:c r="O282" s="46" t="str">
        <x:f>IF(D282="","",MAX(0,MIN(1,N282/Configuracion!$B$10)))</x:f>
      </x:c>
    </x:row>
    <x:row r="283">
      <x:c r="A283" s="34"/>
      <x:c r="B283" s="36"/>
      <x:c r="C283" s="72"/>
      <x:c r="D283" s="71"/>
      <x:c r="E283" s="41" t="str">
        <x:f>IF(D283="","",D283+273.15)</x:f>
      </x:c>
      <x:c r="F283" s="44" t="str">
        <x:f>IF(OR(C283="",D283="",C282=""),"",(C283-C282)/60)</x:f>
      </x:c>
      <x:c r="G283" s="44" t="str">
        <x:f>IF(D283="","",EXP(-Configuracion!$B$4/Configuracion!$B$5*(1/AVERAGE(E282:E283)-1/(Configuracion!$B$3+273.15))))</x:f>
      </x:c>
      <x:c r="H283" s="44" t="str">
        <x:f>IF(D283="","",F283*G283)</x:f>
      </x:c>
      <x:c r="I283" s="44" t="str">
        <x:f>IF(D283="","",I282+H283)</x:f>
      </x:c>
      <x:c r="J283" s="46" t="str">
        <x:f>IF(D283="","",MIN(1,I283/Configuracion!$B$11))</x:f>
      </x:c>
      <x:c r="K283" s="48" t="str">
        <x:f>IF(D283="","",MAX(0,(Configuracion!$B$11-I283)/G283))</x:f>
      </x:c>
      <x:c r="L283" s="73" t="str">
        <x:f>IF(D283="","",C283+K283*60)</x:f>
      </x:c>
      <x:c r="M283" t="str">
        <x:f>IF(D283="","",IF(J283&gt;=Configuracion!$B$13,"DESLIZAR",IF(J283&gt;=Configuracion!$B$12,"PREPARARSE","NO DESLIZAR")))</x:f>
      </x:c>
      <x:c r="N283" s="41" t="str">
        <x:f>IF(D283="","",D283-$D$8)</x:f>
      </x:c>
      <x:c r="O283" s="46" t="str">
        <x:f>IF(D283="","",MAX(0,MIN(1,N283/Configuracion!$B$10)))</x:f>
      </x:c>
    </x:row>
    <x:row r="284">
      <x:c r="A284" s="34"/>
      <x:c r="B284" s="36"/>
      <x:c r="C284" s="72"/>
      <x:c r="D284" s="71"/>
      <x:c r="E284" s="41" t="str">
        <x:f>IF(D284="","",D284+273.15)</x:f>
      </x:c>
      <x:c r="F284" s="44" t="str">
        <x:f>IF(OR(C284="",D284="",C283=""),"",(C284-C283)/60)</x:f>
      </x:c>
      <x:c r="G284" s="44" t="str">
        <x:f>IF(D284="","",EXP(-Configuracion!$B$4/Configuracion!$B$5*(1/AVERAGE(E283:E284)-1/(Configuracion!$B$3+273.15))))</x:f>
      </x:c>
      <x:c r="H284" s="44" t="str">
        <x:f>IF(D284="","",F284*G284)</x:f>
      </x:c>
      <x:c r="I284" s="44" t="str">
        <x:f>IF(D284="","",I283+H284)</x:f>
      </x:c>
      <x:c r="J284" s="46" t="str">
        <x:f>IF(D284="","",MIN(1,I284/Configuracion!$B$11))</x:f>
      </x:c>
      <x:c r="K284" s="48" t="str">
        <x:f>IF(D284="","",MAX(0,(Configuracion!$B$11-I284)/G284))</x:f>
      </x:c>
      <x:c r="L284" s="73" t="str">
        <x:f>IF(D284="","",C284+K284*60)</x:f>
      </x:c>
      <x:c r="M284" t="str">
        <x:f>IF(D284="","",IF(J284&gt;=Configuracion!$B$13,"DESLIZAR",IF(J284&gt;=Configuracion!$B$12,"PREPARARSE","NO DESLIZAR")))</x:f>
      </x:c>
      <x:c r="N284" s="41" t="str">
        <x:f>IF(D284="","",D284-$D$8)</x:f>
      </x:c>
      <x:c r="O284" s="46" t="str">
        <x:f>IF(D284="","",MAX(0,MIN(1,N284/Configuracion!$B$10)))</x:f>
      </x:c>
    </x:row>
    <x:row r="285">
      <x:c r="A285" s="34"/>
      <x:c r="B285" s="36"/>
      <x:c r="C285" s="72"/>
      <x:c r="D285" s="71"/>
      <x:c r="E285" s="41" t="str">
        <x:f>IF(D285="","",D285+273.15)</x:f>
      </x:c>
      <x:c r="F285" s="44" t="str">
        <x:f>IF(OR(C285="",D285="",C284=""),"",(C285-C284)/60)</x:f>
      </x:c>
      <x:c r="G285" s="44" t="str">
        <x:f>IF(D285="","",EXP(-Configuracion!$B$4/Configuracion!$B$5*(1/AVERAGE(E284:E285)-1/(Configuracion!$B$3+273.15))))</x:f>
      </x:c>
      <x:c r="H285" s="44" t="str">
        <x:f>IF(D285="","",F285*G285)</x:f>
      </x:c>
      <x:c r="I285" s="44" t="str">
        <x:f>IF(D285="","",I284+H285)</x:f>
      </x:c>
      <x:c r="J285" s="46" t="str">
        <x:f>IF(D285="","",MIN(1,I285/Configuracion!$B$11))</x:f>
      </x:c>
      <x:c r="K285" s="48" t="str">
        <x:f>IF(D285="","",MAX(0,(Configuracion!$B$11-I285)/G285))</x:f>
      </x:c>
      <x:c r="L285" s="73" t="str">
        <x:f>IF(D285="","",C285+K285*60)</x:f>
      </x:c>
      <x:c r="M285" t="str">
        <x:f>IF(D285="","",IF(J285&gt;=Configuracion!$B$13,"DESLIZAR",IF(J285&gt;=Configuracion!$B$12,"PREPARARSE","NO DESLIZAR")))</x:f>
      </x:c>
      <x:c r="N285" s="41" t="str">
        <x:f>IF(D285="","",D285-$D$8)</x:f>
      </x:c>
      <x:c r="O285" s="46" t="str">
        <x:f>IF(D285="","",MAX(0,MIN(1,N285/Configuracion!$B$10)))</x:f>
      </x:c>
    </x:row>
    <x:row r="286">
      <x:c r="A286" s="34"/>
      <x:c r="B286" s="36"/>
      <x:c r="C286" s="72"/>
      <x:c r="D286" s="71"/>
      <x:c r="E286" s="41" t="str">
        <x:f>IF(D286="","",D286+273.15)</x:f>
      </x:c>
      <x:c r="F286" s="44" t="str">
        <x:f>IF(OR(C286="",D286="",C285=""),"",(C286-C285)/60)</x:f>
      </x:c>
      <x:c r="G286" s="44" t="str">
        <x:f>IF(D286="","",EXP(-Configuracion!$B$4/Configuracion!$B$5*(1/AVERAGE(E285:E286)-1/(Configuracion!$B$3+273.15))))</x:f>
      </x:c>
      <x:c r="H286" s="44" t="str">
        <x:f>IF(D286="","",F286*G286)</x:f>
      </x:c>
      <x:c r="I286" s="44" t="str">
        <x:f>IF(D286="","",I285+H286)</x:f>
      </x:c>
      <x:c r="J286" s="46" t="str">
        <x:f>IF(D286="","",MIN(1,I286/Configuracion!$B$11))</x:f>
      </x:c>
      <x:c r="K286" s="48" t="str">
        <x:f>IF(D286="","",MAX(0,(Configuracion!$B$11-I286)/G286))</x:f>
      </x:c>
      <x:c r="L286" s="73" t="str">
        <x:f>IF(D286="","",C286+K286*60)</x:f>
      </x:c>
      <x:c r="M286" t="str">
        <x:f>IF(D286="","",IF(J286&gt;=Configuracion!$B$13,"DESLIZAR",IF(J286&gt;=Configuracion!$B$12,"PREPARARSE","NO DESLIZAR")))</x:f>
      </x:c>
      <x:c r="N286" s="41" t="str">
        <x:f>IF(D286="","",D286-$D$8)</x:f>
      </x:c>
      <x:c r="O286" s="46" t="str">
        <x:f>IF(D286="","",MAX(0,MIN(1,N286/Configuracion!$B$10)))</x:f>
      </x:c>
    </x:row>
    <x:row r="287">
      <x:c r="A287" s="34"/>
      <x:c r="B287" s="36"/>
      <x:c r="C287" s="72"/>
      <x:c r="D287" s="71"/>
      <x:c r="E287" s="41" t="str">
        <x:f>IF(D287="","",D287+273.15)</x:f>
      </x:c>
      <x:c r="F287" s="44" t="str">
        <x:f>IF(OR(C287="",D287="",C286=""),"",(C287-C286)/60)</x:f>
      </x:c>
      <x:c r="G287" s="44" t="str">
        <x:f>IF(D287="","",EXP(-Configuracion!$B$4/Configuracion!$B$5*(1/AVERAGE(E286:E287)-1/(Configuracion!$B$3+273.15))))</x:f>
      </x:c>
      <x:c r="H287" s="44" t="str">
        <x:f>IF(D287="","",F287*G287)</x:f>
      </x:c>
      <x:c r="I287" s="44" t="str">
        <x:f>IF(D287="","",I286+H287)</x:f>
      </x:c>
      <x:c r="J287" s="46" t="str">
        <x:f>IF(D287="","",MIN(1,I287/Configuracion!$B$11))</x:f>
      </x:c>
      <x:c r="K287" s="48" t="str">
        <x:f>IF(D287="","",MAX(0,(Configuracion!$B$11-I287)/G287))</x:f>
      </x:c>
      <x:c r="L287" s="73" t="str">
        <x:f>IF(D287="","",C287+K287*60)</x:f>
      </x:c>
      <x:c r="M287" t="str">
        <x:f>IF(D287="","",IF(J287&gt;=Configuracion!$B$13,"DESLIZAR",IF(J287&gt;=Configuracion!$B$12,"PREPARARSE","NO DESLIZAR")))</x:f>
      </x:c>
      <x:c r="N287" s="41" t="str">
        <x:f>IF(D287="","",D287-$D$8)</x:f>
      </x:c>
      <x:c r="O287" s="46" t="str">
        <x:f>IF(D287="","",MAX(0,MIN(1,N287/Configuracion!$B$10)))</x:f>
      </x:c>
    </x:row>
    <x:row r="288">
      <x:c r="A288" s="34"/>
      <x:c r="B288" s="36"/>
      <x:c r="C288" s="72"/>
      <x:c r="D288" s="71"/>
      <x:c r="E288" s="41" t="str">
        <x:f>IF(D288="","",D288+273.15)</x:f>
      </x:c>
      <x:c r="F288" s="44" t="str">
        <x:f>IF(OR(C288="",D288="",C287=""),"",(C288-C287)/60)</x:f>
      </x:c>
      <x:c r="G288" s="44" t="str">
        <x:f>IF(D288="","",EXP(-Configuracion!$B$4/Configuracion!$B$5*(1/AVERAGE(E287:E288)-1/(Configuracion!$B$3+273.15))))</x:f>
      </x:c>
      <x:c r="H288" s="44" t="str">
        <x:f>IF(D288="","",F288*G288)</x:f>
      </x:c>
      <x:c r="I288" s="44" t="str">
        <x:f>IF(D288="","",I287+H288)</x:f>
      </x:c>
      <x:c r="J288" s="46" t="str">
        <x:f>IF(D288="","",MIN(1,I288/Configuracion!$B$11))</x:f>
      </x:c>
      <x:c r="K288" s="48" t="str">
        <x:f>IF(D288="","",MAX(0,(Configuracion!$B$11-I288)/G288))</x:f>
      </x:c>
      <x:c r="L288" s="73" t="str">
        <x:f>IF(D288="","",C288+K288*60)</x:f>
      </x:c>
      <x:c r="M288" t="str">
        <x:f>IF(D288="","",IF(J288&gt;=Configuracion!$B$13,"DESLIZAR",IF(J288&gt;=Configuracion!$B$12,"PREPARARSE","NO DESLIZAR")))</x:f>
      </x:c>
      <x:c r="N288" s="41" t="str">
        <x:f>IF(D288="","",D288-$D$8)</x:f>
      </x:c>
      <x:c r="O288" s="46" t="str">
        <x:f>IF(D288="","",MAX(0,MIN(1,N288/Configuracion!$B$10)))</x:f>
      </x:c>
    </x:row>
    <x:row r="289">
      <x:c r="A289" s="34"/>
      <x:c r="B289" s="36"/>
      <x:c r="C289" s="72"/>
      <x:c r="D289" s="71"/>
      <x:c r="E289" s="41" t="str">
        <x:f>IF(D289="","",D289+273.15)</x:f>
      </x:c>
      <x:c r="F289" s="44" t="str">
        <x:f>IF(OR(C289="",D289="",C288=""),"",(C289-C288)/60)</x:f>
      </x:c>
      <x:c r="G289" s="44" t="str">
        <x:f>IF(D289="","",EXP(-Configuracion!$B$4/Configuracion!$B$5*(1/AVERAGE(E288:E289)-1/(Configuracion!$B$3+273.15))))</x:f>
      </x:c>
      <x:c r="H289" s="44" t="str">
        <x:f>IF(D289="","",F289*G289)</x:f>
      </x:c>
      <x:c r="I289" s="44" t="str">
        <x:f>IF(D289="","",I288+H289)</x:f>
      </x:c>
      <x:c r="J289" s="46" t="str">
        <x:f>IF(D289="","",MIN(1,I289/Configuracion!$B$11))</x:f>
      </x:c>
      <x:c r="K289" s="48" t="str">
        <x:f>IF(D289="","",MAX(0,(Configuracion!$B$11-I289)/G289))</x:f>
      </x:c>
      <x:c r="L289" s="73" t="str">
        <x:f>IF(D289="","",C289+K289*60)</x:f>
      </x:c>
      <x:c r="M289" t="str">
        <x:f>IF(D289="","",IF(J289&gt;=Configuracion!$B$13,"DESLIZAR",IF(J289&gt;=Configuracion!$B$12,"PREPARARSE","NO DESLIZAR")))</x:f>
      </x:c>
      <x:c r="N289" s="41" t="str">
        <x:f>IF(D289="","",D289-$D$8)</x:f>
      </x:c>
      <x:c r="O289" s="46" t="str">
        <x:f>IF(D289="","",MAX(0,MIN(1,N289/Configuracion!$B$10)))</x:f>
      </x:c>
    </x:row>
    <x:row r="290">
      <x:c r="A290" s="34"/>
      <x:c r="B290" s="36"/>
      <x:c r="C290" s="72"/>
      <x:c r="D290" s="71"/>
      <x:c r="E290" s="41" t="str">
        <x:f>IF(D290="","",D290+273.15)</x:f>
      </x:c>
      <x:c r="F290" s="44" t="str">
        <x:f>IF(OR(C290="",D290="",C289=""),"",(C290-C289)/60)</x:f>
      </x:c>
      <x:c r="G290" s="44" t="str">
        <x:f>IF(D290="","",EXP(-Configuracion!$B$4/Configuracion!$B$5*(1/AVERAGE(E289:E290)-1/(Configuracion!$B$3+273.15))))</x:f>
      </x:c>
      <x:c r="H290" s="44" t="str">
        <x:f>IF(D290="","",F290*G290)</x:f>
      </x:c>
      <x:c r="I290" s="44" t="str">
        <x:f>IF(D290="","",I289+H290)</x:f>
      </x:c>
      <x:c r="J290" s="46" t="str">
        <x:f>IF(D290="","",MIN(1,I290/Configuracion!$B$11))</x:f>
      </x:c>
      <x:c r="K290" s="48" t="str">
        <x:f>IF(D290="","",MAX(0,(Configuracion!$B$11-I290)/G290))</x:f>
      </x:c>
      <x:c r="L290" s="73" t="str">
        <x:f>IF(D290="","",C290+K290*60)</x:f>
      </x:c>
      <x:c r="M290" t="str">
        <x:f>IF(D290="","",IF(J290&gt;=Configuracion!$B$13,"DESLIZAR",IF(J290&gt;=Configuracion!$B$12,"PREPARARSE","NO DESLIZAR")))</x:f>
      </x:c>
      <x:c r="N290" s="41" t="str">
        <x:f>IF(D290="","",D290-$D$8)</x:f>
      </x:c>
      <x:c r="O290" s="46" t="str">
        <x:f>IF(D290="","",MAX(0,MIN(1,N290/Configuracion!$B$10)))</x:f>
      </x:c>
    </x:row>
    <x:row r="291">
      <x:c r="A291" s="34"/>
      <x:c r="B291" s="36"/>
      <x:c r="C291" s="72"/>
      <x:c r="D291" s="71"/>
      <x:c r="E291" s="41" t="str">
        <x:f>IF(D291="","",D291+273.15)</x:f>
      </x:c>
      <x:c r="F291" s="44" t="str">
        <x:f>IF(OR(C291="",D291="",C290=""),"",(C291-C290)/60)</x:f>
      </x:c>
      <x:c r="G291" s="44" t="str">
        <x:f>IF(D291="","",EXP(-Configuracion!$B$4/Configuracion!$B$5*(1/AVERAGE(E290:E291)-1/(Configuracion!$B$3+273.15))))</x:f>
      </x:c>
      <x:c r="H291" s="44" t="str">
        <x:f>IF(D291="","",F291*G291)</x:f>
      </x:c>
      <x:c r="I291" s="44" t="str">
        <x:f>IF(D291="","",I290+H291)</x:f>
      </x:c>
      <x:c r="J291" s="46" t="str">
        <x:f>IF(D291="","",MIN(1,I291/Configuracion!$B$11))</x:f>
      </x:c>
      <x:c r="K291" s="48" t="str">
        <x:f>IF(D291="","",MAX(0,(Configuracion!$B$11-I291)/G291))</x:f>
      </x:c>
      <x:c r="L291" s="73" t="str">
        <x:f>IF(D291="","",C291+K291*60)</x:f>
      </x:c>
      <x:c r="M291" t="str">
        <x:f>IF(D291="","",IF(J291&gt;=Configuracion!$B$13,"DESLIZAR",IF(J291&gt;=Configuracion!$B$12,"PREPARARSE","NO DESLIZAR")))</x:f>
      </x:c>
      <x:c r="N291" s="41" t="str">
        <x:f>IF(D291="","",D291-$D$8)</x:f>
      </x:c>
      <x:c r="O291" s="46" t="str">
        <x:f>IF(D291="","",MAX(0,MIN(1,N291/Configuracion!$B$10)))</x:f>
      </x:c>
    </x:row>
    <x:row r="292">
      <x:c r="A292" s="34"/>
      <x:c r="B292" s="36"/>
      <x:c r="C292" s="72"/>
      <x:c r="D292" s="71"/>
      <x:c r="E292" s="41" t="str">
        <x:f>IF(D292="","",D292+273.15)</x:f>
      </x:c>
      <x:c r="F292" s="44" t="str">
        <x:f>IF(OR(C292="",D292="",C291=""),"",(C292-C291)/60)</x:f>
      </x:c>
      <x:c r="G292" s="44" t="str">
        <x:f>IF(D292="","",EXP(-Configuracion!$B$4/Configuracion!$B$5*(1/AVERAGE(E291:E292)-1/(Configuracion!$B$3+273.15))))</x:f>
      </x:c>
      <x:c r="H292" s="44" t="str">
        <x:f>IF(D292="","",F292*G292)</x:f>
      </x:c>
      <x:c r="I292" s="44" t="str">
        <x:f>IF(D292="","",I291+H292)</x:f>
      </x:c>
      <x:c r="J292" s="46" t="str">
        <x:f>IF(D292="","",MIN(1,I292/Configuracion!$B$11))</x:f>
      </x:c>
      <x:c r="K292" s="48" t="str">
        <x:f>IF(D292="","",MAX(0,(Configuracion!$B$11-I292)/G292))</x:f>
      </x:c>
      <x:c r="L292" s="73" t="str">
        <x:f>IF(D292="","",C292+K292*60)</x:f>
      </x:c>
      <x:c r="M292" t="str">
        <x:f>IF(D292="","",IF(J292&gt;=Configuracion!$B$13,"DESLIZAR",IF(J292&gt;=Configuracion!$B$12,"PREPARARSE","NO DESLIZAR")))</x:f>
      </x:c>
      <x:c r="N292" s="41" t="str">
        <x:f>IF(D292="","",D292-$D$8)</x:f>
      </x:c>
      <x:c r="O292" s="46" t="str">
        <x:f>IF(D292="","",MAX(0,MIN(1,N292/Configuracion!$B$10)))</x:f>
      </x:c>
    </x:row>
    <x:row r="293">
      <x:c r="A293" s="34"/>
      <x:c r="B293" s="36"/>
      <x:c r="C293" s="72"/>
      <x:c r="D293" s="71"/>
      <x:c r="E293" s="41" t="str">
        <x:f>IF(D293="","",D293+273.15)</x:f>
      </x:c>
      <x:c r="F293" s="44" t="str">
        <x:f>IF(OR(C293="",D293="",C292=""),"",(C293-C292)/60)</x:f>
      </x:c>
      <x:c r="G293" s="44" t="str">
        <x:f>IF(D293="","",EXP(-Configuracion!$B$4/Configuracion!$B$5*(1/AVERAGE(E292:E293)-1/(Configuracion!$B$3+273.15))))</x:f>
      </x:c>
      <x:c r="H293" s="44" t="str">
        <x:f>IF(D293="","",F293*G293)</x:f>
      </x:c>
      <x:c r="I293" s="44" t="str">
        <x:f>IF(D293="","",I292+H293)</x:f>
      </x:c>
      <x:c r="J293" s="46" t="str">
        <x:f>IF(D293="","",MIN(1,I293/Configuracion!$B$11))</x:f>
      </x:c>
      <x:c r="K293" s="48" t="str">
        <x:f>IF(D293="","",MAX(0,(Configuracion!$B$11-I293)/G293))</x:f>
      </x:c>
      <x:c r="L293" s="73" t="str">
        <x:f>IF(D293="","",C293+K293*60)</x:f>
      </x:c>
      <x:c r="M293" t="str">
        <x:f>IF(D293="","",IF(J293&gt;=Configuracion!$B$13,"DESLIZAR",IF(J293&gt;=Configuracion!$B$12,"PREPARARSE","NO DESLIZAR")))</x:f>
      </x:c>
      <x:c r="N293" s="41" t="str">
        <x:f>IF(D293="","",D293-$D$8)</x:f>
      </x:c>
      <x:c r="O293" s="46" t="str">
        <x:f>IF(D293="","",MAX(0,MIN(1,N293/Configuracion!$B$10)))</x:f>
      </x:c>
    </x:row>
    <x:row r="294">
      <x:c r="A294" s="34"/>
      <x:c r="B294" s="36"/>
      <x:c r="C294" s="72"/>
      <x:c r="D294" s="71"/>
      <x:c r="E294" s="41" t="str">
        <x:f>IF(D294="","",D294+273.15)</x:f>
      </x:c>
      <x:c r="F294" s="44" t="str">
        <x:f>IF(OR(C294="",D294="",C293=""),"",(C294-C293)/60)</x:f>
      </x:c>
      <x:c r="G294" s="44" t="str">
        <x:f>IF(D294="","",EXP(-Configuracion!$B$4/Configuracion!$B$5*(1/AVERAGE(E293:E294)-1/(Configuracion!$B$3+273.15))))</x:f>
      </x:c>
      <x:c r="H294" s="44" t="str">
        <x:f>IF(D294="","",F294*G294)</x:f>
      </x:c>
      <x:c r="I294" s="44" t="str">
        <x:f>IF(D294="","",I293+H294)</x:f>
      </x:c>
      <x:c r="J294" s="46" t="str">
        <x:f>IF(D294="","",MIN(1,I294/Configuracion!$B$11))</x:f>
      </x:c>
      <x:c r="K294" s="48" t="str">
        <x:f>IF(D294="","",MAX(0,(Configuracion!$B$11-I294)/G294))</x:f>
      </x:c>
      <x:c r="L294" s="73" t="str">
        <x:f>IF(D294="","",C294+K294*60)</x:f>
      </x:c>
      <x:c r="M294" t="str">
        <x:f>IF(D294="","",IF(J294&gt;=Configuracion!$B$13,"DESLIZAR",IF(J294&gt;=Configuracion!$B$12,"PREPARARSE","NO DESLIZAR")))</x:f>
      </x:c>
      <x:c r="N294" s="41" t="str">
        <x:f>IF(D294="","",D294-$D$8)</x:f>
      </x:c>
      <x:c r="O294" s="46" t="str">
        <x:f>IF(D294="","",MAX(0,MIN(1,N294/Configuracion!$B$10)))</x:f>
      </x:c>
    </x:row>
    <x:row r="295">
      <x:c r="A295" s="34"/>
      <x:c r="B295" s="36"/>
      <x:c r="C295" s="72"/>
      <x:c r="D295" s="71"/>
      <x:c r="E295" s="41" t="str">
        <x:f>IF(D295="","",D295+273.15)</x:f>
      </x:c>
      <x:c r="F295" s="44" t="str">
        <x:f>IF(OR(C295="",D295="",C294=""),"",(C295-C294)/60)</x:f>
      </x:c>
      <x:c r="G295" s="44" t="str">
        <x:f>IF(D295="","",EXP(-Configuracion!$B$4/Configuracion!$B$5*(1/AVERAGE(E294:E295)-1/(Configuracion!$B$3+273.15))))</x:f>
      </x:c>
      <x:c r="H295" s="44" t="str">
        <x:f>IF(D295="","",F295*G295)</x:f>
      </x:c>
      <x:c r="I295" s="44" t="str">
        <x:f>IF(D295="","",I294+H295)</x:f>
      </x:c>
      <x:c r="J295" s="46" t="str">
        <x:f>IF(D295="","",MIN(1,I295/Configuracion!$B$11))</x:f>
      </x:c>
      <x:c r="K295" s="48" t="str">
        <x:f>IF(D295="","",MAX(0,(Configuracion!$B$11-I295)/G295))</x:f>
      </x:c>
      <x:c r="L295" s="73" t="str">
        <x:f>IF(D295="","",C295+K295*60)</x:f>
      </x:c>
      <x:c r="M295" t="str">
        <x:f>IF(D295="","",IF(J295&gt;=Configuracion!$B$13,"DESLIZAR",IF(J295&gt;=Configuracion!$B$12,"PREPARARSE","NO DESLIZAR")))</x:f>
      </x:c>
      <x:c r="N295" s="41" t="str">
        <x:f>IF(D295="","",D295-$D$8)</x:f>
      </x:c>
      <x:c r="O295" s="46" t="str">
        <x:f>IF(D295="","",MAX(0,MIN(1,N295/Configuracion!$B$10)))</x:f>
      </x:c>
    </x:row>
    <x:row r="296">
      <x:c r="A296" s="34"/>
      <x:c r="B296" s="36"/>
      <x:c r="C296" s="72"/>
      <x:c r="D296" s="71"/>
      <x:c r="E296" s="41" t="str">
        <x:f>IF(D296="","",D296+273.15)</x:f>
      </x:c>
      <x:c r="F296" s="44" t="str">
        <x:f>IF(OR(C296="",D296="",C295=""),"",(C296-C295)/60)</x:f>
      </x:c>
      <x:c r="G296" s="44" t="str">
        <x:f>IF(D296="","",EXP(-Configuracion!$B$4/Configuracion!$B$5*(1/AVERAGE(E295:E296)-1/(Configuracion!$B$3+273.15))))</x:f>
      </x:c>
      <x:c r="H296" s="44" t="str">
        <x:f>IF(D296="","",F296*G296)</x:f>
      </x:c>
      <x:c r="I296" s="44" t="str">
        <x:f>IF(D296="","",I295+H296)</x:f>
      </x:c>
      <x:c r="J296" s="46" t="str">
        <x:f>IF(D296="","",MIN(1,I296/Configuracion!$B$11))</x:f>
      </x:c>
      <x:c r="K296" s="48" t="str">
        <x:f>IF(D296="","",MAX(0,(Configuracion!$B$11-I296)/G296))</x:f>
      </x:c>
      <x:c r="L296" s="73" t="str">
        <x:f>IF(D296="","",C296+K296*60)</x:f>
      </x:c>
      <x:c r="M296" t="str">
        <x:f>IF(D296="","",IF(J296&gt;=Configuracion!$B$13,"DESLIZAR",IF(J296&gt;=Configuracion!$B$12,"PREPARARSE","NO DESLIZAR")))</x:f>
      </x:c>
      <x:c r="N296" s="41" t="str">
        <x:f>IF(D296="","",D296-$D$8)</x:f>
      </x:c>
      <x:c r="O296" s="46" t="str">
        <x:f>IF(D296="","",MAX(0,MIN(1,N296/Configuracion!$B$10)))</x:f>
      </x:c>
    </x:row>
    <x:row r="297">
      <x:c r="A297" s="34"/>
      <x:c r="B297" s="36"/>
      <x:c r="C297" s="72"/>
      <x:c r="D297" s="71"/>
      <x:c r="E297" s="41" t="str">
        <x:f>IF(D297="","",D297+273.15)</x:f>
      </x:c>
      <x:c r="F297" s="44" t="str">
        <x:f>IF(OR(C297="",D297="",C296=""),"",(C297-C296)/60)</x:f>
      </x:c>
      <x:c r="G297" s="44" t="str">
        <x:f>IF(D297="","",EXP(-Configuracion!$B$4/Configuracion!$B$5*(1/AVERAGE(E296:E297)-1/(Configuracion!$B$3+273.15))))</x:f>
      </x:c>
      <x:c r="H297" s="44" t="str">
        <x:f>IF(D297="","",F297*G297)</x:f>
      </x:c>
      <x:c r="I297" s="44" t="str">
        <x:f>IF(D297="","",I296+H297)</x:f>
      </x:c>
      <x:c r="J297" s="46" t="str">
        <x:f>IF(D297="","",MIN(1,I297/Configuracion!$B$11))</x:f>
      </x:c>
      <x:c r="K297" s="48" t="str">
        <x:f>IF(D297="","",MAX(0,(Configuracion!$B$11-I297)/G297))</x:f>
      </x:c>
      <x:c r="L297" s="73" t="str">
        <x:f>IF(D297="","",C297+K297*60)</x:f>
      </x:c>
      <x:c r="M297" t="str">
        <x:f>IF(D297="","",IF(J297&gt;=Configuracion!$B$13,"DESLIZAR",IF(J297&gt;=Configuracion!$B$12,"PREPARARSE","NO DESLIZAR")))</x:f>
      </x:c>
      <x:c r="N297" s="41" t="str">
        <x:f>IF(D297="","",D297-$D$8)</x:f>
      </x:c>
      <x:c r="O297" s="46" t="str">
        <x:f>IF(D297="","",MAX(0,MIN(1,N297/Configuracion!$B$10)))</x:f>
      </x:c>
    </x:row>
    <x:row r="298">
      <x:c r="A298" s="34"/>
      <x:c r="B298" s="36"/>
      <x:c r="C298" s="72"/>
      <x:c r="D298" s="71"/>
      <x:c r="E298" s="41" t="str">
        <x:f>IF(D298="","",D298+273.15)</x:f>
      </x:c>
      <x:c r="F298" s="44" t="str">
        <x:f>IF(OR(C298="",D298="",C297=""),"",(C298-C297)/60)</x:f>
      </x:c>
      <x:c r="G298" s="44" t="str">
        <x:f>IF(D298="","",EXP(-Configuracion!$B$4/Configuracion!$B$5*(1/AVERAGE(E297:E298)-1/(Configuracion!$B$3+273.15))))</x:f>
      </x:c>
      <x:c r="H298" s="44" t="str">
        <x:f>IF(D298="","",F298*G298)</x:f>
      </x:c>
      <x:c r="I298" s="44" t="str">
        <x:f>IF(D298="","",I297+H298)</x:f>
      </x:c>
      <x:c r="J298" s="46" t="str">
        <x:f>IF(D298="","",MIN(1,I298/Configuracion!$B$11))</x:f>
      </x:c>
      <x:c r="K298" s="48" t="str">
        <x:f>IF(D298="","",MAX(0,(Configuracion!$B$11-I298)/G298))</x:f>
      </x:c>
      <x:c r="L298" s="73" t="str">
        <x:f>IF(D298="","",C298+K298*60)</x:f>
      </x:c>
      <x:c r="M298" t="str">
        <x:f>IF(D298="","",IF(J298&gt;=Configuracion!$B$13,"DESLIZAR",IF(J298&gt;=Configuracion!$B$12,"PREPARARSE","NO DESLIZAR")))</x:f>
      </x:c>
      <x:c r="N298" s="41" t="str">
        <x:f>IF(D298="","",D298-$D$8)</x:f>
      </x:c>
      <x:c r="O298" s="46" t="str">
        <x:f>IF(D298="","",MAX(0,MIN(1,N298/Configuracion!$B$10)))</x:f>
      </x:c>
    </x:row>
    <x:row r="299">
      <x:c r="A299" s="34"/>
      <x:c r="B299" s="36"/>
      <x:c r="C299" s="72"/>
      <x:c r="D299" s="71"/>
      <x:c r="E299" s="41" t="str">
        <x:f>IF(D299="","",D299+273.15)</x:f>
      </x:c>
      <x:c r="F299" s="44" t="str">
        <x:f>IF(OR(C299="",D299="",C298=""),"",(C299-C298)/60)</x:f>
      </x:c>
      <x:c r="G299" s="44" t="str">
        <x:f>IF(D299="","",EXP(-Configuracion!$B$4/Configuracion!$B$5*(1/AVERAGE(E298:E299)-1/(Configuracion!$B$3+273.15))))</x:f>
      </x:c>
      <x:c r="H299" s="44" t="str">
        <x:f>IF(D299="","",F299*G299)</x:f>
      </x:c>
      <x:c r="I299" s="44" t="str">
        <x:f>IF(D299="","",I298+H299)</x:f>
      </x:c>
      <x:c r="J299" s="46" t="str">
        <x:f>IF(D299="","",MIN(1,I299/Configuracion!$B$11))</x:f>
      </x:c>
      <x:c r="K299" s="48" t="str">
        <x:f>IF(D299="","",MAX(0,(Configuracion!$B$11-I299)/G299))</x:f>
      </x:c>
      <x:c r="L299" s="73" t="str">
        <x:f>IF(D299="","",C299+K299*60)</x:f>
      </x:c>
      <x:c r="M299" t="str">
        <x:f>IF(D299="","",IF(J299&gt;=Configuracion!$B$13,"DESLIZAR",IF(J299&gt;=Configuracion!$B$12,"PREPARARSE","NO DESLIZAR")))</x:f>
      </x:c>
      <x:c r="N299" s="41" t="str">
        <x:f>IF(D299="","",D299-$D$8)</x:f>
      </x:c>
      <x:c r="O299" s="46" t="str">
        <x:f>IF(D299="","",MAX(0,MIN(1,N299/Configuracion!$B$10)))</x:f>
      </x:c>
    </x:row>
    <x:row r="300">
      <x:c r="A300" s="34"/>
      <x:c r="B300" s="36"/>
      <x:c r="C300" s="72"/>
      <x:c r="D300" s="71"/>
      <x:c r="E300" s="41" t="str">
        <x:f>IF(D300="","",D300+273.15)</x:f>
      </x:c>
      <x:c r="F300" s="44" t="str">
        <x:f>IF(OR(C300="",D300="",C299=""),"",(C300-C299)/60)</x:f>
      </x:c>
      <x:c r="G300" s="44" t="str">
        <x:f>IF(D300="","",EXP(-Configuracion!$B$4/Configuracion!$B$5*(1/AVERAGE(E299:E300)-1/(Configuracion!$B$3+273.15))))</x:f>
      </x:c>
      <x:c r="H300" s="44" t="str">
        <x:f>IF(D300="","",F300*G300)</x:f>
      </x:c>
      <x:c r="I300" s="44" t="str">
        <x:f>IF(D300="","",I299+H300)</x:f>
      </x:c>
      <x:c r="J300" s="46" t="str">
        <x:f>IF(D300="","",MIN(1,I300/Configuracion!$B$11))</x:f>
      </x:c>
      <x:c r="K300" s="48" t="str">
        <x:f>IF(D300="","",MAX(0,(Configuracion!$B$11-I300)/G300))</x:f>
      </x:c>
      <x:c r="L300" s="73" t="str">
        <x:f>IF(D300="","",C300+K300*60)</x:f>
      </x:c>
      <x:c r="M300" t="str">
        <x:f>IF(D300="","",IF(J300&gt;=Configuracion!$B$13,"DESLIZAR",IF(J300&gt;=Configuracion!$B$12,"PREPARARSE","NO DESLIZAR")))</x:f>
      </x:c>
      <x:c r="N300" s="41" t="str">
        <x:f>IF(D300="","",D300-$D$8)</x:f>
      </x:c>
      <x:c r="O300" s="46" t="str">
        <x:f>IF(D300="","",MAX(0,MIN(1,N300/Configuracion!$B$10)))</x:f>
      </x:c>
    </x:row>
    <x:row r="301">
      <x:c r="A301" s="34"/>
      <x:c r="B301" s="36"/>
      <x:c r="C301" s="72"/>
      <x:c r="D301" s="71"/>
      <x:c r="E301" s="41" t="str">
        <x:f>IF(D301="","",D301+273.15)</x:f>
      </x:c>
      <x:c r="F301" s="44" t="str">
        <x:f>IF(OR(C301="",D301="",C300=""),"",(C301-C300)/60)</x:f>
      </x:c>
      <x:c r="G301" s="44" t="str">
        <x:f>IF(D301="","",EXP(-Configuracion!$B$4/Configuracion!$B$5*(1/AVERAGE(E300:E301)-1/(Configuracion!$B$3+273.15))))</x:f>
      </x:c>
      <x:c r="H301" s="44" t="str">
        <x:f>IF(D301="","",F301*G301)</x:f>
      </x:c>
      <x:c r="I301" s="44" t="str">
        <x:f>IF(D301="","",I300+H301)</x:f>
      </x:c>
      <x:c r="J301" s="46" t="str">
        <x:f>IF(D301="","",MIN(1,I301/Configuracion!$B$11))</x:f>
      </x:c>
      <x:c r="K301" s="48" t="str">
        <x:f>IF(D301="","",MAX(0,(Configuracion!$B$11-I301)/G301))</x:f>
      </x:c>
      <x:c r="L301" s="73" t="str">
        <x:f>IF(D301="","",C301+K301*60)</x:f>
      </x:c>
      <x:c r="M301" t="str">
        <x:f>IF(D301="","",IF(J301&gt;=Configuracion!$B$13,"DESLIZAR",IF(J301&gt;=Configuracion!$B$12,"PREPARARSE","NO DESLIZAR")))</x:f>
      </x:c>
      <x:c r="N301" s="41" t="str">
        <x:f>IF(D301="","",D301-$D$8)</x:f>
      </x:c>
      <x:c r="O301" s="46" t="str">
        <x:f>IF(D301="","",MAX(0,MIN(1,N301/Configuracion!$B$10)))</x:f>
      </x:c>
    </x:row>
    <x:row r="302">
      <x:c r="A302" s="34"/>
      <x:c r="B302" s="36"/>
      <x:c r="C302" s="72"/>
      <x:c r="D302" s="71"/>
      <x:c r="E302" s="41" t="str">
        <x:f>IF(D302="","",D302+273.15)</x:f>
      </x:c>
      <x:c r="F302" s="44" t="str">
        <x:f>IF(OR(C302="",D302="",C301=""),"",(C302-C301)/60)</x:f>
      </x:c>
      <x:c r="G302" s="44" t="str">
        <x:f>IF(D302="","",EXP(-Configuracion!$B$4/Configuracion!$B$5*(1/AVERAGE(E301:E302)-1/(Configuracion!$B$3+273.15))))</x:f>
      </x:c>
      <x:c r="H302" s="44" t="str">
        <x:f>IF(D302="","",F302*G302)</x:f>
      </x:c>
      <x:c r="I302" s="44" t="str">
        <x:f>IF(D302="","",I301+H302)</x:f>
      </x:c>
      <x:c r="J302" s="46" t="str">
        <x:f>IF(D302="","",MIN(1,I302/Configuracion!$B$11))</x:f>
      </x:c>
      <x:c r="K302" s="48" t="str">
        <x:f>IF(D302="","",MAX(0,(Configuracion!$B$11-I302)/G302))</x:f>
      </x:c>
      <x:c r="L302" s="73" t="str">
        <x:f>IF(D302="","",C302+K302*60)</x:f>
      </x:c>
      <x:c r="M302" t="str">
        <x:f>IF(D302="","",IF(J302&gt;=Configuracion!$B$13,"DESLIZAR",IF(J302&gt;=Configuracion!$B$12,"PREPARARSE","NO DESLIZAR")))</x:f>
      </x:c>
      <x:c r="N302" s="41" t="str">
        <x:f>IF(D302="","",D302-$D$8)</x:f>
      </x:c>
      <x:c r="O302" s="46" t="str">
        <x:f>IF(D302="","",MAX(0,MIN(1,N302/Configuracion!$B$10)))</x:f>
      </x:c>
    </x:row>
    <x:row r="303">
      <x:c r="A303" s="34"/>
      <x:c r="B303" s="36"/>
      <x:c r="C303" s="72"/>
      <x:c r="D303" s="71"/>
      <x:c r="E303" s="41" t="str">
        <x:f>IF(D303="","",D303+273.15)</x:f>
      </x:c>
      <x:c r="F303" s="44" t="str">
        <x:f>IF(OR(C303="",D303="",C302=""),"",(C303-C302)/60)</x:f>
      </x:c>
      <x:c r="G303" s="44" t="str">
        <x:f>IF(D303="","",EXP(-Configuracion!$B$4/Configuracion!$B$5*(1/AVERAGE(E302:E303)-1/(Configuracion!$B$3+273.15))))</x:f>
      </x:c>
      <x:c r="H303" s="44" t="str">
        <x:f>IF(D303="","",F303*G303)</x:f>
      </x:c>
      <x:c r="I303" s="44" t="str">
        <x:f>IF(D303="","",I302+H303)</x:f>
      </x:c>
      <x:c r="J303" s="46" t="str">
        <x:f>IF(D303="","",MIN(1,I303/Configuracion!$B$11))</x:f>
      </x:c>
      <x:c r="K303" s="48" t="str">
        <x:f>IF(D303="","",MAX(0,(Configuracion!$B$11-I303)/G303))</x:f>
      </x:c>
      <x:c r="L303" s="73" t="str">
        <x:f>IF(D303="","",C303+K303*60)</x:f>
      </x:c>
      <x:c r="M303" t="str">
        <x:f>IF(D303="","",IF(J303&gt;=Configuracion!$B$13,"DESLIZAR",IF(J303&gt;=Configuracion!$B$12,"PREPARARSE","NO DESLIZAR")))</x:f>
      </x:c>
      <x:c r="N303" s="41" t="str">
        <x:f>IF(D303="","",D303-$D$8)</x:f>
      </x:c>
      <x:c r="O303" s="46" t="str">
        <x:f>IF(D303="","",MAX(0,MIN(1,N303/Configuracion!$B$10)))</x:f>
      </x:c>
    </x:row>
    <x:row r="304">
      <x:c r="A304" s="34"/>
      <x:c r="B304" s="36"/>
      <x:c r="C304" s="72"/>
      <x:c r="D304" s="71"/>
      <x:c r="E304" s="41" t="str">
        <x:f>IF(D304="","",D304+273.15)</x:f>
      </x:c>
      <x:c r="F304" s="44" t="str">
        <x:f>IF(OR(C304="",D304="",C303=""),"",(C304-C303)/60)</x:f>
      </x:c>
      <x:c r="G304" s="44" t="str">
        <x:f>IF(D304="","",EXP(-Configuracion!$B$4/Configuracion!$B$5*(1/AVERAGE(E303:E304)-1/(Configuracion!$B$3+273.15))))</x:f>
      </x:c>
      <x:c r="H304" s="44" t="str">
        <x:f>IF(D304="","",F304*G304)</x:f>
      </x:c>
      <x:c r="I304" s="44" t="str">
        <x:f>IF(D304="","",I303+H304)</x:f>
      </x:c>
      <x:c r="J304" s="46" t="str">
        <x:f>IF(D304="","",MIN(1,I304/Configuracion!$B$11))</x:f>
      </x:c>
      <x:c r="K304" s="48" t="str">
        <x:f>IF(D304="","",MAX(0,(Configuracion!$B$11-I304)/G304))</x:f>
      </x:c>
      <x:c r="L304" s="73" t="str">
        <x:f>IF(D304="","",C304+K304*60)</x:f>
      </x:c>
      <x:c r="M304" t="str">
        <x:f>IF(D304="","",IF(J304&gt;=Configuracion!$B$13,"DESLIZAR",IF(J304&gt;=Configuracion!$B$12,"PREPARARSE","NO DESLIZAR")))</x:f>
      </x:c>
      <x:c r="N304" s="41" t="str">
        <x:f>IF(D304="","",D304-$D$8)</x:f>
      </x:c>
      <x:c r="O304" s="46" t="str">
        <x:f>IF(D304="","",MAX(0,MIN(1,N304/Configuracion!$B$10)))</x:f>
      </x:c>
    </x:row>
    <x:row r="305">
      <x:c r="A305" s="34"/>
      <x:c r="B305" s="36"/>
      <x:c r="C305" s="72"/>
      <x:c r="D305" s="71"/>
      <x:c r="E305" s="41" t="str">
        <x:f>IF(D305="","",D305+273.15)</x:f>
      </x:c>
      <x:c r="F305" s="44" t="str">
        <x:f>IF(OR(C305="",D305="",C304=""),"",(C305-C304)/60)</x:f>
      </x:c>
      <x:c r="G305" s="44" t="str">
        <x:f>IF(D305="","",EXP(-Configuracion!$B$4/Configuracion!$B$5*(1/AVERAGE(E304:E305)-1/(Configuracion!$B$3+273.15))))</x:f>
      </x:c>
      <x:c r="H305" s="44" t="str">
        <x:f>IF(D305="","",F305*G305)</x:f>
      </x:c>
      <x:c r="I305" s="44" t="str">
        <x:f>IF(D305="","",I304+H305)</x:f>
      </x:c>
      <x:c r="J305" s="46" t="str">
        <x:f>IF(D305="","",MIN(1,I305/Configuracion!$B$11))</x:f>
      </x:c>
      <x:c r="K305" s="48" t="str">
        <x:f>IF(D305="","",MAX(0,(Configuracion!$B$11-I305)/G305))</x:f>
      </x:c>
      <x:c r="L305" s="73" t="str">
        <x:f>IF(D305="","",C305+K305*60)</x:f>
      </x:c>
      <x:c r="M305" t="str">
        <x:f>IF(D305="","",IF(J305&gt;=Configuracion!$B$13,"DESLIZAR",IF(J305&gt;=Configuracion!$B$12,"PREPARARSE","NO DESLIZAR")))</x:f>
      </x:c>
      <x:c r="N305" s="41" t="str">
        <x:f>IF(D305="","",D305-$D$8)</x:f>
      </x:c>
      <x:c r="O305" s="46" t="str">
        <x:f>IF(D305="","",MAX(0,MIN(1,N305/Configuracion!$B$10)))</x:f>
      </x:c>
    </x:row>
    <x:row r="306">
      <x:c r="A306" s="34"/>
      <x:c r="B306" s="36"/>
      <x:c r="C306" s="72"/>
      <x:c r="D306" s="71"/>
      <x:c r="E306" s="41" t="str">
        <x:f>IF(D306="","",D306+273.15)</x:f>
      </x:c>
      <x:c r="F306" s="44" t="str">
        <x:f>IF(OR(C306="",D306="",C305=""),"",(C306-C305)/60)</x:f>
      </x:c>
      <x:c r="G306" s="44" t="str">
        <x:f>IF(D306="","",EXP(-Configuracion!$B$4/Configuracion!$B$5*(1/AVERAGE(E305:E306)-1/(Configuracion!$B$3+273.15))))</x:f>
      </x:c>
      <x:c r="H306" s="44" t="str">
        <x:f>IF(D306="","",F306*G306)</x:f>
      </x:c>
      <x:c r="I306" s="44" t="str">
        <x:f>IF(D306="","",I305+H306)</x:f>
      </x:c>
      <x:c r="J306" s="46" t="str">
        <x:f>IF(D306="","",MIN(1,I306/Configuracion!$B$11))</x:f>
      </x:c>
      <x:c r="K306" s="48" t="str">
        <x:f>IF(D306="","",MAX(0,(Configuracion!$B$11-I306)/G306))</x:f>
      </x:c>
      <x:c r="L306" s="73" t="str">
        <x:f>IF(D306="","",C306+K306*60)</x:f>
      </x:c>
      <x:c r="M306" t="str">
        <x:f>IF(D306="","",IF(J306&gt;=Configuracion!$B$13,"DESLIZAR",IF(J306&gt;=Configuracion!$B$12,"PREPARARSE","NO DESLIZAR")))</x:f>
      </x:c>
      <x:c r="N306" s="41" t="str">
        <x:f>IF(D306="","",D306-$D$8)</x:f>
      </x:c>
      <x:c r="O306" s="46" t="str">
        <x:f>IF(D306="","",MAX(0,MIN(1,N306/Configuracion!$B$10)))</x:f>
      </x:c>
    </x:row>
    <x:row r="307">
      <x:c r="A307" s="34"/>
      <x:c r="B307" s="36"/>
      <x:c r="C307" s="72"/>
      <x:c r="D307" s="71"/>
      <x:c r="E307" s="41" t="str">
        <x:f>IF(D307="","",D307+273.15)</x:f>
      </x:c>
      <x:c r="F307" s="44" t="str">
        <x:f>IF(OR(C307="",D307="",C306=""),"",(C307-C306)/60)</x:f>
      </x:c>
      <x:c r="G307" s="44" t="str">
        <x:f>IF(D307="","",EXP(-Configuracion!$B$4/Configuracion!$B$5*(1/AVERAGE(E306:E307)-1/(Configuracion!$B$3+273.15))))</x:f>
      </x:c>
      <x:c r="H307" s="44" t="str">
        <x:f>IF(D307="","",F307*G307)</x:f>
      </x:c>
      <x:c r="I307" s="44" t="str">
        <x:f>IF(D307="","",I306+H307)</x:f>
      </x:c>
      <x:c r="J307" s="46" t="str">
        <x:f>IF(D307="","",MIN(1,I307/Configuracion!$B$11))</x:f>
      </x:c>
      <x:c r="K307" s="48" t="str">
        <x:f>IF(D307="","",MAX(0,(Configuracion!$B$11-I307)/G307))</x:f>
      </x:c>
      <x:c r="L307" s="73" t="str">
        <x:f>IF(D307="","",C307+K307*60)</x:f>
      </x:c>
      <x:c r="M307" t="str">
        <x:f>IF(D307="","",IF(J307&gt;=Configuracion!$B$13,"DESLIZAR",IF(J307&gt;=Configuracion!$B$12,"PREPARARSE","NO DESLIZAR")))</x:f>
      </x:c>
      <x:c r="N307" s="41" t="str">
        <x:f>IF(D307="","",D307-$D$8)</x:f>
      </x:c>
      <x:c r="O307" s="46" t="str">
        <x:f>IF(D307="","",MAX(0,MIN(1,N307/Configuracion!$B$10)))</x:f>
      </x:c>
    </x:row>
    <x:row r="308">
      <x:c r="A308" s="34"/>
      <x:c r="B308" s="36"/>
      <x:c r="C308" s="72"/>
      <x:c r="D308" s="71"/>
      <x:c r="E308" s="41" t="str">
        <x:f>IF(D308="","",D308+273.15)</x:f>
      </x:c>
      <x:c r="F308" s="44" t="str">
        <x:f>IF(OR(C308="",D308="",C307=""),"",(C308-C307)/60)</x:f>
      </x:c>
      <x:c r="G308" s="44" t="str">
        <x:f>IF(D308="","",EXP(-Configuracion!$B$4/Configuracion!$B$5*(1/AVERAGE(E307:E308)-1/(Configuracion!$B$3+273.15))))</x:f>
      </x:c>
      <x:c r="H308" s="44" t="str">
        <x:f>IF(D308="","",F308*G308)</x:f>
      </x:c>
      <x:c r="I308" s="44" t="str">
        <x:f>IF(D308="","",I307+H308)</x:f>
      </x:c>
      <x:c r="J308" s="46" t="str">
        <x:f>IF(D308="","",MIN(1,I308/Configuracion!$B$11))</x:f>
      </x:c>
      <x:c r="K308" s="48" t="str">
        <x:f>IF(D308="","",MAX(0,(Configuracion!$B$11-I308)/G308))</x:f>
      </x:c>
      <x:c r="L308" s="73" t="str">
        <x:f>IF(D308="","",C308+K308*60)</x:f>
      </x:c>
      <x:c r="M308" t="str">
        <x:f>IF(D308="","",IF(J308&gt;=Configuracion!$B$13,"DESLIZAR",IF(J308&gt;=Configuracion!$B$12,"PREPARARSE","NO DESLIZAR")))</x:f>
      </x:c>
      <x:c r="N308" s="41" t="str">
        <x:f>IF(D308="","",D308-$D$8)</x:f>
      </x:c>
      <x:c r="O308" s="46" t="str">
        <x:f>IF(D308="","",MAX(0,MIN(1,N308/Configuracion!$B$10)))</x:f>
      </x:c>
    </x:row>
    <x:row r="309">
      <x:c r="A309" s="34"/>
      <x:c r="B309" s="36"/>
      <x:c r="C309" s="72"/>
      <x:c r="D309" s="71"/>
      <x:c r="E309" s="41" t="str">
        <x:f>IF(D309="","",D309+273.15)</x:f>
      </x:c>
      <x:c r="F309" s="44" t="str">
        <x:f>IF(OR(C309="",D309="",C308=""),"",(C309-C308)/60)</x:f>
      </x:c>
      <x:c r="G309" s="44" t="str">
        <x:f>IF(D309="","",EXP(-Configuracion!$B$4/Configuracion!$B$5*(1/AVERAGE(E308:E309)-1/(Configuracion!$B$3+273.15))))</x:f>
      </x:c>
      <x:c r="H309" s="44" t="str">
        <x:f>IF(D309="","",F309*G309)</x:f>
      </x:c>
      <x:c r="I309" s="44" t="str">
        <x:f>IF(D309="","",I308+H309)</x:f>
      </x:c>
      <x:c r="J309" s="46" t="str">
        <x:f>IF(D309="","",MIN(1,I309/Configuracion!$B$11))</x:f>
      </x:c>
      <x:c r="K309" s="48" t="str">
        <x:f>IF(D309="","",MAX(0,(Configuracion!$B$11-I309)/G309))</x:f>
      </x:c>
      <x:c r="L309" s="73" t="str">
        <x:f>IF(D309="","",C309+K309*60)</x:f>
      </x:c>
      <x:c r="M309" t="str">
        <x:f>IF(D309="","",IF(J309&gt;=Configuracion!$B$13,"DESLIZAR",IF(J309&gt;=Configuracion!$B$12,"PREPARARSE","NO DESLIZAR")))</x:f>
      </x:c>
      <x:c r="N309" s="41" t="str">
        <x:f>IF(D309="","",D309-$D$8)</x:f>
      </x:c>
      <x:c r="O309" s="46" t="str">
        <x:f>IF(D309="","",MAX(0,MIN(1,N309/Configuracion!$B$10)))</x:f>
      </x:c>
    </x:row>
    <x:row r="310">
      <x:c r="A310" s="34"/>
      <x:c r="B310" s="36"/>
      <x:c r="C310" s="72"/>
      <x:c r="D310" s="71"/>
      <x:c r="E310" s="41" t="str">
        <x:f>IF(D310="","",D310+273.15)</x:f>
      </x:c>
      <x:c r="F310" s="44" t="str">
        <x:f>IF(OR(C310="",D310="",C309=""),"",(C310-C309)/60)</x:f>
      </x:c>
      <x:c r="G310" s="44" t="str">
        <x:f>IF(D310="","",EXP(-Configuracion!$B$4/Configuracion!$B$5*(1/AVERAGE(E309:E310)-1/(Configuracion!$B$3+273.15))))</x:f>
      </x:c>
      <x:c r="H310" s="44" t="str">
        <x:f>IF(D310="","",F310*G310)</x:f>
      </x:c>
      <x:c r="I310" s="44" t="str">
        <x:f>IF(D310="","",I309+H310)</x:f>
      </x:c>
      <x:c r="J310" s="46" t="str">
        <x:f>IF(D310="","",MIN(1,I310/Configuracion!$B$11))</x:f>
      </x:c>
      <x:c r="K310" s="48" t="str">
        <x:f>IF(D310="","",MAX(0,(Configuracion!$B$11-I310)/G310))</x:f>
      </x:c>
      <x:c r="L310" s="73" t="str">
        <x:f>IF(D310="","",C310+K310*60)</x:f>
      </x:c>
      <x:c r="M310" t="str">
        <x:f>IF(D310="","",IF(J310&gt;=Configuracion!$B$13,"DESLIZAR",IF(J310&gt;=Configuracion!$B$12,"PREPARARSE","NO DESLIZAR")))</x:f>
      </x:c>
      <x:c r="N310" s="41" t="str">
        <x:f>IF(D310="","",D310-$D$8)</x:f>
      </x:c>
      <x:c r="O310" s="46" t="str">
        <x:f>IF(D310="","",MAX(0,MIN(1,N310/Configuracion!$B$10)))</x:f>
      </x:c>
    </x:row>
    <x:row r="311">
      <x:c r="A311" s="34"/>
      <x:c r="B311" s="36"/>
      <x:c r="C311" s="72"/>
      <x:c r="D311" s="71"/>
      <x:c r="E311" s="41" t="str">
        <x:f>IF(D311="","",D311+273.15)</x:f>
      </x:c>
      <x:c r="F311" s="44" t="str">
        <x:f>IF(OR(C311="",D311="",C310=""),"",(C311-C310)/60)</x:f>
      </x:c>
      <x:c r="G311" s="44" t="str">
        <x:f>IF(D311="","",EXP(-Configuracion!$B$4/Configuracion!$B$5*(1/AVERAGE(E310:E311)-1/(Configuracion!$B$3+273.15))))</x:f>
      </x:c>
      <x:c r="H311" s="44" t="str">
        <x:f>IF(D311="","",F311*G311)</x:f>
      </x:c>
      <x:c r="I311" s="44" t="str">
        <x:f>IF(D311="","",I310+H311)</x:f>
      </x:c>
      <x:c r="J311" s="46" t="str">
        <x:f>IF(D311="","",MIN(1,I311/Configuracion!$B$11))</x:f>
      </x:c>
      <x:c r="K311" s="48" t="str">
        <x:f>IF(D311="","",MAX(0,(Configuracion!$B$11-I311)/G311))</x:f>
      </x:c>
      <x:c r="L311" s="73" t="str">
        <x:f>IF(D311="","",C311+K311*60)</x:f>
      </x:c>
      <x:c r="M311" t="str">
        <x:f>IF(D311="","",IF(J311&gt;=Configuracion!$B$13,"DESLIZAR",IF(J311&gt;=Configuracion!$B$12,"PREPARARSE","NO DESLIZAR")))</x:f>
      </x:c>
      <x:c r="N311" s="41" t="str">
        <x:f>IF(D311="","",D311-$D$8)</x:f>
      </x:c>
      <x:c r="O311" s="46" t="str">
        <x:f>IF(D311="","",MAX(0,MIN(1,N311/Configuracion!$B$10)))</x:f>
      </x:c>
    </x:row>
    <x:row r="312">
      <x:c r="A312" s="34"/>
      <x:c r="B312" s="36"/>
      <x:c r="C312" s="72"/>
      <x:c r="D312" s="71"/>
      <x:c r="E312" s="41" t="str">
        <x:f>IF(D312="","",D312+273.15)</x:f>
      </x:c>
      <x:c r="F312" s="44" t="str">
        <x:f>IF(OR(C312="",D312="",C311=""),"",(C312-C311)/60)</x:f>
      </x:c>
      <x:c r="G312" s="44" t="str">
        <x:f>IF(D312="","",EXP(-Configuracion!$B$4/Configuracion!$B$5*(1/AVERAGE(E311:E312)-1/(Configuracion!$B$3+273.15))))</x:f>
      </x:c>
      <x:c r="H312" s="44" t="str">
        <x:f>IF(D312="","",F312*G312)</x:f>
      </x:c>
      <x:c r="I312" s="44" t="str">
        <x:f>IF(D312="","",I311+H312)</x:f>
      </x:c>
      <x:c r="J312" s="46" t="str">
        <x:f>IF(D312="","",MIN(1,I312/Configuracion!$B$11))</x:f>
      </x:c>
      <x:c r="K312" s="48" t="str">
        <x:f>IF(D312="","",MAX(0,(Configuracion!$B$11-I312)/G312))</x:f>
      </x:c>
      <x:c r="L312" s="73" t="str">
        <x:f>IF(D312="","",C312+K312*60)</x:f>
      </x:c>
      <x:c r="M312" t="str">
        <x:f>IF(D312="","",IF(J312&gt;=Configuracion!$B$13,"DESLIZAR",IF(J312&gt;=Configuracion!$B$12,"PREPARARSE","NO DESLIZAR")))</x:f>
      </x:c>
      <x:c r="N312" s="41" t="str">
        <x:f>IF(D312="","",D312-$D$8)</x:f>
      </x:c>
      <x:c r="O312" s="46" t="str">
        <x:f>IF(D312="","",MAX(0,MIN(1,N312/Configuracion!$B$10)))</x:f>
      </x:c>
    </x:row>
    <x:row r="313">
      <x:c r="A313" s="34"/>
      <x:c r="B313" s="36"/>
      <x:c r="C313" s="72"/>
      <x:c r="D313" s="71"/>
      <x:c r="E313" s="41" t="str">
        <x:f>IF(D313="","",D313+273.15)</x:f>
      </x:c>
      <x:c r="F313" s="44" t="str">
        <x:f>IF(OR(C313="",D313="",C312=""),"",(C313-C312)/60)</x:f>
      </x:c>
      <x:c r="G313" s="44" t="str">
        <x:f>IF(D313="","",EXP(-Configuracion!$B$4/Configuracion!$B$5*(1/AVERAGE(E312:E313)-1/(Configuracion!$B$3+273.15))))</x:f>
      </x:c>
      <x:c r="H313" s="44" t="str">
        <x:f>IF(D313="","",F313*G313)</x:f>
      </x:c>
      <x:c r="I313" s="44" t="str">
        <x:f>IF(D313="","",I312+H313)</x:f>
      </x:c>
      <x:c r="J313" s="46" t="str">
        <x:f>IF(D313="","",MIN(1,I313/Configuracion!$B$11))</x:f>
      </x:c>
      <x:c r="K313" s="48" t="str">
        <x:f>IF(D313="","",MAX(0,(Configuracion!$B$11-I313)/G313))</x:f>
      </x:c>
      <x:c r="L313" s="73" t="str">
        <x:f>IF(D313="","",C313+K313*60)</x:f>
      </x:c>
      <x:c r="M313" t="str">
        <x:f>IF(D313="","",IF(J313&gt;=Configuracion!$B$13,"DESLIZAR",IF(J313&gt;=Configuracion!$B$12,"PREPARARSE","NO DESLIZAR")))</x:f>
      </x:c>
      <x:c r="N313" s="41" t="str">
        <x:f>IF(D313="","",D313-$D$8)</x:f>
      </x:c>
      <x:c r="O313" s="46" t="str">
        <x:f>IF(D313="","",MAX(0,MIN(1,N313/Configuracion!$B$10)))</x:f>
      </x:c>
    </x:row>
    <x:row r="314">
      <x:c r="A314" s="34"/>
      <x:c r="B314" s="36"/>
      <x:c r="C314" s="72"/>
      <x:c r="D314" s="71"/>
      <x:c r="E314" s="41" t="str">
        <x:f>IF(D314="","",D314+273.15)</x:f>
      </x:c>
      <x:c r="F314" s="44" t="str">
        <x:f>IF(OR(C314="",D314="",C313=""),"",(C314-C313)/60)</x:f>
      </x:c>
      <x:c r="G314" s="44" t="str">
        <x:f>IF(D314="","",EXP(-Configuracion!$B$4/Configuracion!$B$5*(1/AVERAGE(E313:E314)-1/(Configuracion!$B$3+273.15))))</x:f>
      </x:c>
      <x:c r="H314" s="44" t="str">
        <x:f>IF(D314="","",F314*G314)</x:f>
      </x:c>
      <x:c r="I314" s="44" t="str">
        <x:f>IF(D314="","",I313+H314)</x:f>
      </x:c>
      <x:c r="J314" s="46" t="str">
        <x:f>IF(D314="","",MIN(1,I314/Configuracion!$B$11))</x:f>
      </x:c>
      <x:c r="K314" s="48" t="str">
        <x:f>IF(D314="","",MAX(0,(Configuracion!$B$11-I314)/G314))</x:f>
      </x:c>
      <x:c r="L314" s="73" t="str">
        <x:f>IF(D314="","",C314+K314*60)</x:f>
      </x:c>
      <x:c r="M314" t="str">
        <x:f>IF(D314="","",IF(J314&gt;=Configuracion!$B$13,"DESLIZAR",IF(J314&gt;=Configuracion!$B$12,"PREPARARSE","NO DESLIZAR")))</x:f>
      </x:c>
      <x:c r="N314" s="41" t="str">
        <x:f>IF(D314="","",D314-$D$8)</x:f>
      </x:c>
      <x:c r="O314" s="46" t="str">
        <x:f>IF(D314="","",MAX(0,MIN(1,N314/Configuracion!$B$10)))</x:f>
      </x:c>
    </x:row>
    <x:row r="315">
      <x:c r="A315" s="34"/>
      <x:c r="B315" s="36"/>
      <x:c r="C315" s="72"/>
      <x:c r="D315" s="71"/>
      <x:c r="E315" s="41" t="str">
        <x:f>IF(D315="","",D315+273.15)</x:f>
      </x:c>
      <x:c r="F315" s="44" t="str">
        <x:f>IF(OR(C315="",D315="",C314=""),"",(C315-C314)/60)</x:f>
      </x:c>
      <x:c r="G315" s="44" t="str">
        <x:f>IF(D315="","",EXP(-Configuracion!$B$4/Configuracion!$B$5*(1/AVERAGE(E314:E315)-1/(Configuracion!$B$3+273.15))))</x:f>
      </x:c>
      <x:c r="H315" s="44" t="str">
        <x:f>IF(D315="","",F315*G315)</x:f>
      </x:c>
      <x:c r="I315" s="44" t="str">
        <x:f>IF(D315="","",I314+H315)</x:f>
      </x:c>
      <x:c r="J315" s="46" t="str">
        <x:f>IF(D315="","",MIN(1,I315/Configuracion!$B$11))</x:f>
      </x:c>
      <x:c r="K315" s="48" t="str">
        <x:f>IF(D315="","",MAX(0,(Configuracion!$B$11-I315)/G315))</x:f>
      </x:c>
      <x:c r="L315" s="73" t="str">
        <x:f>IF(D315="","",C315+K315*60)</x:f>
      </x:c>
      <x:c r="M315" t="str">
        <x:f>IF(D315="","",IF(J315&gt;=Configuracion!$B$13,"DESLIZAR",IF(J315&gt;=Configuracion!$B$12,"PREPARARSE","NO DESLIZAR")))</x:f>
      </x:c>
      <x:c r="N315" s="41" t="str">
        <x:f>IF(D315="","",D315-$D$8)</x:f>
      </x:c>
      <x:c r="O315" s="46" t="str">
        <x:f>IF(D315="","",MAX(0,MIN(1,N315/Configuracion!$B$10)))</x:f>
      </x:c>
    </x:row>
    <x:row r="316">
      <x:c r="A316" s="34"/>
      <x:c r="B316" s="36"/>
      <x:c r="C316" s="72"/>
      <x:c r="D316" s="71"/>
      <x:c r="E316" s="41" t="str">
        <x:f>IF(D316="","",D316+273.15)</x:f>
      </x:c>
      <x:c r="F316" s="44" t="str">
        <x:f>IF(OR(C316="",D316="",C315=""),"",(C316-C315)/60)</x:f>
      </x:c>
      <x:c r="G316" s="44" t="str">
        <x:f>IF(D316="","",EXP(-Configuracion!$B$4/Configuracion!$B$5*(1/AVERAGE(E315:E316)-1/(Configuracion!$B$3+273.15))))</x:f>
      </x:c>
      <x:c r="H316" s="44" t="str">
        <x:f>IF(D316="","",F316*G316)</x:f>
      </x:c>
      <x:c r="I316" s="44" t="str">
        <x:f>IF(D316="","",I315+H316)</x:f>
      </x:c>
      <x:c r="J316" s="46" t="str">
        <x:f>IF(D316="","",MIN(1,I316/Configuracion!$B$11))</x:f>
      </x:c>
      <x:c r="K316" s="48" t="str">
        <x:f>IF(D316="","",MAX(0,(Configuracion!$B$11-I316)/G316))</x:f>
      </x:c>
      <x:c r="L316" s="73" t="str">
        <x:f>IF(D316="","",C316+K316*60)</x:f>
      </x:c>
      <x:c r="M316" t="str">
        <x:f>IF(D316="","",IF(J316&gt;=Configuracion!$B$13,"DESLIZAR",IF(J316&gt;=Configuracion!$B$12,"PREPARARSE","NO DESLIZAR")))</x:f>
      </x:c>
      <x:c r="N316" s="41" t="str">
        <x:f>IF(D316="","",D316-$D$8)</x:f>
      </x:c>
      <x:c r="O316" s="46" t="str">
        <x:f>IF(D316="","",MAX(0,MIN(1,N316/Configuracion!$B$10)))</x:f>
      </x:c>
    </x:row>
    <x:row r="317">
      <x:c r="A317" s="34"/>
      <x:c r="B317" s="36"/>
      <x:c r="C317" s="72"/>
      <x:c r="D317" s="71"/>
      <x:c r="E317" s="41" t="str">
        <x:f>IF(D317="","",D317+273.15)</x:f>
      </x:c>
      <x:c r="F317" s="44" t="str">
        <x:f>IF(OR(C317="",D317="",C316=""),"",(C317-C316)/60)</x:f>
      </x:c>
      <x:c r="G317" s="44" t="str">
        <x:f>IF(D317="","",EXP(-Configuracion!$B$4/Configuracion!$B$5*(1/AVERAGE(E316:E317)-1/(Configuracion!$B$3+273.15))))</x:f>
      </x:c>
      <x:c r="H317" s="44" t="str">
        <x:f>IF(D317="","",F317*G317)</x:f>
      </x:c>
      <x:c r="I317" s="44" t="str">
        <x:f>IF(D317="","",I316+H317)</x:f>
      </x:c>
      <x:c r="J317" s="46" t="str">
        <x:f>IF(D317="","",MIN(1,I317/Configuracion!$B$11))</x:f>
      </x:c>
      <x:c r="K317" s="48" t="str">
        <x:f>IF(D317="","",MAX(0,(Configuracion!$B$11-I317)/G317))</x:f>
      </x:c>
      <x:c r="L317" s="73" t="str">
        <x:f>IF(D317="","",C317+K317*60)</x:f>
      </x:c>
      <x:c r="M317" t="str">
        <x:f>IF(D317="","",IF(J317&gt;=Configuracion!$B$13,"DESLIZAR",IF(J317&gt;=Configuracion!$B$12,"PREPARARSE","NO DESLIZAR")))</x:f>
      </x:c>
      <x:c r="N317" s="41" t="str">
        <x:f>IF(D317="","",D317-$D$8)</x:f>
      </x:c>
      <x:c r="O317" s="46" t="str">
        <x:f>IF(D317="","",MAX(0,MIN(1,N317/Configuracion!$B$10)))</x:f>
      </x:c>
    </x:row>
    <x:row r="318">
      <x:c r="A318" s="34"/>
      <x:c r="B318" s="36"/>
      <x:c r="C318" s="72"/>
      <x:c r="D318" s="71"/>
      <x:c r="E318" s="41" t="str">
        <x:f>IF(D318="","",D318+273.15)</x:f>
      </x:c>
      <x:c r="F318" s="44" t="str">
        <x:f>IF(OR(C318="",D318="",C317=""),"",(C318-C317)/60)</x:f>
      </x:c>
      <x:c r="G318" s="44" t="str">
        <x:f>IF(D318="","",EXP(-Configuracion!$B$4/Configuracion!$B$5*(1/AVERAGE(E317:E318)-1/(Configuracion!$B$3+273.15))))</x:f>
      </x:c>
      <x:c r="H318" s="44" t="str">
        <x:f>IF(D318="","",F318*G318)</x:f>
      </x:c>
      <x:c r="I318" s="44" t="str">
        <x:f>IF(D318="","",I317+H318)</x:f>
      </x:c>
      <x:c r="J318" s="46" t="str">
        <x:f>IF(D318="","",MIN(1,I318/Configuracion!$B$11))</x:f>
      </x:c>
      <x:c r="K318" s="48" t="str">
        <x:f>IF(D318="","",MAX(0,(Configuracion!$B$11-I318)/G318))</x:f>
      </x:c>
      <x:c r="L318" s="73" t="str">
        <x:f>IF(D318="","",C318+K318*60)</x:f>
      </x:c>
      <x:c r="M318" t="str">
        <x:f>IF(D318="","",IF(J318&gt;=Configuracion!$B$13,"DESLIZAR",IF(J318&gt;=Configuracion!$B$12,"PREPARARSE","NO DESLIZAR")))</x:f>
      </x:c>
      <x:c r="N318" s="41" t="str">
        <x:f>IF(D318="","",D318-$D$8)</x:f>
      </x:c>
      <x:c r="O318" s="46" t="str">
        <x:f>IF(D318="","",MAX(0,MIN(1,N318/Configuracion!$B$10)))</x:f>
      </x:c>
    </x:row>
    <x:row r="319">
      <x:c r="A319" s="34"/>
      <x:c r="B319" s="36"/>
      <x:c r="C319" s="72"/>
      <x:c r="D319" s="71"/>
      <x:c r="E319" s="41" t="str">
        <x:f>IF(D319="","",D319+273.15)</x:f>
      </x:c>
      <x:c r="F319" s="44" t="str">
        <x:f>IF(OR(C319="",D319="",C318=""),"",(C319-C318)/60)</x:f>
      </x:c>
      <x:c r="G319" s="44" t="str">
        <x:f>IF(D319="","",EXP(-Configuracion!$B$4/Configuracion!$B$5*(1/AVERAGE(E318:E319)-1/(Configuracion!$B$3+273.15))))</x:f>
      </x:c>
      <x:c r="H319" s="44" t="str">
        <x:f>IF(D319="","",F319*G319)</x:f>
      </x:c>
      <x:c r="I319" s="44" t="str">
        <x:f>IF(D319="","",I318+H319)</x:f>
      </x:c>
      <x:c r="J319" s="46" t="str">
        <x:f>IF(D319="","",MIN(1,I319/Configuracion!$B$11))</x:f>
      </x:c>
      <x:c r="K319" s="48" t="str">
        <x:f>IF(D319="","",MAX(0,(Configuracion!$B$11-I319)/G319))</x:f>
      </x:c>
      <x:c r="L319" s="73" t="str">
        <x:f>IF(D319="","",C319+K319*60)</x:f>
      </x:c>
      <x:c r="M319" t="str">
        <x:f>IF(D319="","",IF(J319&gt;=Configuracion!$B$13,"DESLIZAR",IF(J319&gt;=Configuracion!$B$12,"PREPARARSE","NO DESLIZAR")))</x:f>
      </x:c>
      <x:c r="N319" s="41" t="str">
        <x:f>IF(D319="","",D319-$D$8)</x:f>
      </x:c>
      <x:c r="O319" s="46" t="str">
        <x:f>IF(D319="","",MAX(0,MIN(1,N319/Configuracion!$B$10)))</x:f>
      </x:c>
    </x:row>
    <x:row r="320">
      <x:c r="A320" s="34"/>
      <x:c r="B320" s="36"/>
      <x:c r="C320" s="72"/>
      <x:c r="D320" s="71"/>
      <x:c r="E320" s="41" t="str">
        <x:f>IF(D320="","",D320+273.15)</x:f>
      </x:c>
      <x:c r="F320" s="44" t="str">
        <x:f>IF(OR(C320="",D320="",C319=""),"",(C320-C319)/60)</x:f>
      </x:c>
      <x:c r="G320" s="44" t="str">
        <x:f>IF(D320="","",EXP(-Configuracion!$B$4/Configuracion!$B$5*(1/AVERAGE(E319:E320)-1/(Configuracion!$B$3+273.15))))</x:f>
      </x:c>
      <x:c r="H320" s="44" t="str">
        <x:f>IF(D320="","",F320*G320)</x:f>
      </x:c>
      <x:c r="I320" s="44" t="str">
        <x:f>IF(D320="","",I319+H320)</x:f>
      </x:c>
      <x:c r="J320" s="46" t="str">
        <x:f>IF(D320="","",MIN(1,I320/Configuracion!$B$11))</x:f>
      </x:c>
      <x:c r="K320" s="48" t="str">
        <x:f>IF(D320="","",MAX(0,(Configuracion!$B$11-I320)/G320))</x:f>
      </x:c>
      <x:c r="L320" s="73" t="str">
        <x:f>IF(D320="","",C320+K320*60)</x:f>
      </x:c>
      <x:c r="M320" t="str">
        <x:f>IF(D320="","",IF(J320&gt;=Configuracion!$B$13,"DESLIZAR",IF(J320&gt;=Configuracion!$B$12,"PREPARARSE","NO DESLIZAR")))</x:f>
      </x:c>
      <x:c r="N320" s="41" t="str">
        <x:f>IF(D320="","",D320-$D$8)</x:f>
      </x:c>
      <x:c r="O320" s="46" t="str">
        <x:f>IF(D320="","",MAX(0,MIN(1,N320/Configuracion!$B$10)))</x:f>
      </x:c>
    </x:row>
    <x:row r="321">
      <x:c r="A321" s="34"/>
      <x:c r="B321" s="36"/>
      <x:c r="C321" s="72"/>
      <x:c r="D321" s="71"/>
      <x:c r="E321" s="41" t="str">
        <x:f>IF(D321="","",D321+273.15)</x:f>
      </x:c>
      <x:c r="F321" s="44" t="str">
        <x:f>IF(OR(C321="",D321="",C320=""),"",(C321-C320)/60)</x:f>
      </x:c>
      <x:c r="G321" s="44" t="str">
        <x:f>IF(D321="","",EXP(-Configuracion!$B$4/Configuracion!$B$5*(1/AVERAGE(E320:E321)-1/(Configuracion!$B$3+273.15))))</x:f>
      </x:c>
      <x:c r="H321" s="44" t="str">
        <x:f>IF(D321="","",F321*G321)</x:f>
      </x:c>
      <x:c r="I321" s="44" t="str">
        <x:f>IF(D321="","",I320+H321)</x:f>
      </x:c>
      <x:c r="J321" s="46" t="str">
        <x:f>IF(D321="","",MIN(1,I321/Configuracion!$B$11))</x:f>
      </x:c>
      <x:c r="K321" s="48" t="str">
        <x:f>IF(D321="","",MAX(0,(Configuracion!$B$11-I321)/G321))</x:f>
      </x:c>
      <x:c r="L321" s="73" t="str">
        <x:f>IF(D321="","",C321+K321*60)</x:f>
      </x:c>
      <x:c r="M321" t="str">
        <x:f>IF(D321="","",IF(J321&gt;=Configuracion!$B$13,"DESLIZAR",IF(J321&gt;=Configuracion!$B$12,"PREPARARSE","NO DESLIZAR")))</x:f>
      </x:c>
      <x:c r="N321" s="41" t="str">
        <x:f>IF(D321="","",D321-$D$8)</x:f>
      </x:c>
      <x:c r="O321" s="46" t="str">
        <x:f>IF(D321="","",MAX(0,MIN(1,N321/Configuracion!$B$10)))</x:f>
      </x:c>
    </x:row>
    <x:row r="322">
      <x:c r="A322" s="34"/>
      <x:c r="B322" s="36"/>
      <x:c r="C322" s="72"/>
      <x:c r="D322" s="71"/>
      <x:c r="E322" s="41" t="str">
        <x:f>IF(D322="","",D322+273.15)</x:f>
      </x:c>
      <x:c r="F322" s="44" t="str">
        <x:f>IF(OR(C322="",D322="",C321=""),"",(C322-C321)/60)</x:f>
      </x:c>
      <x:c r="G322" s="44" t="str">
        <x:f>IF(D322="","",EXP(-Configuracion!$B$4/Configuracion!$B$5*(1/AVERAGE(E321:E322)-1/(Configuracion!$B$3+273.15))))</x:f>
      </x:c>
      <x:c r="H322" s="44" t="str">
        <x:f>IF(D322="","",F322*G322)</x:f>
      </x:c>
      <x:c r="I322" s="44" t="str">
        <x:f>IF(D322="","",I321+H322)</x:f>
      </x:c>
      <x:c r="J322" s="46" t="str">
        <x:f>IF(D322="","",MIN(1,I322/Configuracion!$B$11))</x:f>
      </x:c>
      <x:c r="K322" s="48" t="str">
        <x:f>IF(D322="","",MAX(0,(Configuracion!$B$11-I322)/G322))</x:f>
      </x:c>
      <x:c r="L322" s="73" t="str">
        <x:f>IF(D322="","",C322+K322*60)</x:f>
      </x:c>
      <x:c r="M322" t="str">
        <x:f>IF(D322="","",IF(J322&gt;=Configuracion!$B$13,"DESLIZAR",IF(J322&gt;=Configuracion!$B$12,"PREPARARSE","NO DESLIZAR")))</x:f>
      </x:c>
      <x:c r="N322" s="41" t="str">
        <x:f>IF(D322="","",D322-$D$8)</x:f>
      </x:c>
      <x:c r="O322" s="46" t="str">
        <x:f>IF(D322="","",MAX(0,MIN(1,N322/Configuracion!$B$10)))</x:f>
      </x:c>
    </x:row>
    <x:row r="323">
      <x:c r="A323" s="34"/>
      <x:c r="B323" s="36"/>
      <x:c r="C323" s="72"/>
      <x:c r="D323" s="71"/>
      <x:c r="E323" s="41" t="str">
        <x:f>IF(D323="","",D323+273.15)</x:f>
      </x:c>
      <x:c r="F323" s="44" t="str">
        <x:f>IF(OR(C323="",D323="",C322=""),"",(C323-C322)/60)</x:f>
      </x:c>
      <x:c r="G323" s="44" t="str">
        <x:f>IF(D323="","",EXP(-Configuracion!$B$4/Configuracion!$B$5*(1/AVERAGE(E322:E323)-1/(Configuracion!$B$3+273.15))))</x:f>
      </x:c>
      <x:c r="H323" s="44" t="str">
        <x:f>IF(D323="","",F323*G323)</x:f>
      </x:c>
      <x:c r="I323" s="44" t="str">
        <x:f>IF(D323="","",I322+H323)</x:f>
      </x:c>
      <x:c r="J323" s="46" t="str">
        <x:f>IF(D323="","",MIN(1,I323/Configuracion!$B$11))</x:f>
      </x:c>
      <x:c r="K323" s="48" t="str">
        <x:f>IF(D323="","",MAX(0,(Configuracion!$B$11-I323)/G323))</x:f>
      </x:c>
      <x:c r="L323" s="73" t="str">
        <x:f>IF(D323="","",C323+K323*60)</x:f>
      </x:c>
      <x:c r="M323" t="str">
        <x:f>IF(D323="","",IF(J323&gt;=Configuracion!$B$13,"DESLIZAR",IF(J323&gt;=Configuracion!$B$12,"PREPARARSE","NO DESLIZAR")))</x:f>
      </x:c>
      <x:c r="N323" s="41" t="str">
        <x:f>IF(D323="","",D323-$D$8)</x:f>
      </x:c>
      <x:c r="O323" s="46" t="str">
        <x:f>IF(D323="","",MAX(0,MIN(1,N323/Configuracion!$B$10)))</x:f>
      </x:c>
    </x:row>
    <x:row r="324">
      <x:c r="A324" s="34"/>
      <x:c r="B324" s="36"/>
      <x:c r="C324" s="72"/>
      <x:c r="D324" s="71"/>
      <x:c r="E324" s="41" t="str">
        <x:f>IF(D324="","",D324+273.15)</x:f>
      </x:c>
      <x:c r="F324" s="44" t="str">
        <x:f>IF(OR(C324="",D324="",C323=""),"",(C324-C323)/60)</x:f>
      </x:c>
      <x:c r="G324" s="44" t="str">
        <x:f>IF(D324="","",EXP(-Configuracion!$B$4/Configuracion!$B$5*(1/AVERAGE(E323:E324)-1/(Configuracion!$B$3+273.15))))</x:f>
      </x:c>
      <x:c r="H324" s="44" t="str">
        <x:f>IF(D324="","",F324*G324)</x:f>
      </x:c>
      <x:c r="I324" s="44" t="str">
        <x:f>IF(D324="","",I323+H324)</x:f>
      </x:c>
      <x:c r="J324" s="46" t="str">
        <x:f>IF(D324="","",MIN(1,I324/Configuracion!$B$11))</x:f>
      </x:c>
      <x:c r="K324" s="48" t="str">
        <x:f>IF(D324="","",MAX(0,(Configuracion!$B$11-I324)/G324))</x:f>
      </x:c>
      <x:c r="L324" s="73" t="str">
        <x:f>IF(D324="","",C324+K324*60)</x:f>
      </x:c>
      <x:c r="M324" t="str">
        <x:f>IF(D324="","",IF(J324&gt;=Configuracion!$B$13,"DESLIZAR",IF(J324&gt;=Configuracion!$B$12,"PREPARARSE","NO DESLIZAR")))</x:f>
      </x:c>
      <x:c r="N324" s="41" t="str">
        <x:f>IF(D324="","",D324-$D$8)</x:f>
      </x:c>
      <x:c r="O324" s="46" t="str">
        <x:f>IF(D324="","",MAX(0,MIN(1,N324/Configuracion!$B$10)))</x:f>
      </x:c>
    </x:row>
    <x:row r="325">
      <x:c r="A325" s="34"/>
      <x:c r="B325" s="36"/>
      <x:c r="C325" s="72"/>
      <x:c r="D325" s="71"/>
      <x:c r="E325" s="41" t="str">
        <x:f>IF(D325="","",D325+273.15)</x:f>
      </x:c>
      <x:c r="F325" s="44" t="str">
        <x:f>IF(OR(C325="",D325="",C324=""),"",(C325-C324)/60)</x:f>
      </x:c>
      <x:c r="G325" s="44" t="str">
        <x:f>IF(D325="","",EXP(-Configuracion!$B$4/Configuracion!$B$5*(1/AVERAGE(E324:E325)-1/(Configuracion!$B$3+273.15))))</x:f>
      </x:c>
      <x:c r="H325" s="44" t="str">
        <x:f>IF(D325="","",F325*G325)</x:f>
      </x:c>
      <x:c r="I325" s="44" t="str">
        <x:f>IF(D325="","",I324+H325)</x:f>
      </x:c>
      <x:c r="J325" s="46" t="str">
        <x:f>IF(D325="","",MIN(1,I325/Configuracion!$B$11))</x:f>
      </x:c>
      <x:c r="K325" s="48" t="str">
        <x:f>IF(D325="","",MAX(0,(Configuracion!$B$11-I325)/G325))</x:f>
      </x:c>
      <x:c r="L325" s="73" t="str">
        <x:f>IF(D325="","",C325+K325*60)</x:f>
      </x:c>
      <x:c r="M325" t="str">
        <x:f>IF(D325="","",IF(J325&gt;=Configuracion!$B$13,"DESLIZAR",IF(J325&gt;=Configuracion!$B$12,"PREPARARSE","NO DESLIZAR")))</x:f>
      </x:c>
      <x:c r="N325" s="41" t="str">
        <x:f>IF(D325="","",D325-$D$8)</x:f>
      </x:c>
      <x:c r="O325" s="46" t="str">
        <x:f>IF(D325="","",MAX(0,MIN(1,N325/Configuracion!$B$10)))</x:f>
      </x:c>
    </x:row>
    <x:row r="326">
      <x:c r="A326" s="34"/>
      <x:c r="B326" s="36"/>
      <x:c r="C326" s="72"/>
      <x:c r="D326" s="71"/>
      <x:c r="E326" s="41" t="str">
        <x:f>IF(D326="","",D326+273.15)</x:f>
      </x:c>
      <x:c r="F326" s="44" t="str">
        <x:f>IF(OR(C326="",D326="",C325=""),"",(C326-C325)/60)</x:f>
      </x:c>
      <x:c r="G326" s="44" t="str">
        <x:f>IF(D326="","",EXP(-Configuracion!$B$4/Configuracion!$B$5*(1/AVERAGE(E325:E326)-1/(Configuracion!$B$3+273.15))))</x:f>
      </x:c>
      <x:c r="H326" s="44" t="str">
        <x:f>IF(D326="","",F326*G326)</x:f>
      </x:c>
      <x:c r="I326" s="44" t="str">
        <x:f>IF(D326="","",I325+H326)</x:f>
      </x:c>
      <x:c r="J326" s="46" t="str">
        <x:f>IF(D326="","",MIN(1,I326/Configuracion!$B$11))</x:f>
      </x:c>
      <x:c r="K326" s="48" t="str">
        <x:f>IF(D326="","",MAX(0,(Configuracion!$B$11-I326)/G326))</x:f>
      </x:c>
      <x:c r="L326" s="73" t="str">
        <x:f>IF(D326="","",C326+K326*60)</x:f>
      </x:c>
      <x:c r="M326" t="str">
        <x:f>IF(D326="","",IF(J326&gt;=Configuracion!$B$13,"DESLIZAR",IF(J326&gt;=Configuracion!$B$12,"PREPARARSE","NO DESLIZAR")))</x:f>
      </x:c>
      <x:c r="N326" s="41" t="str">
        <x:f>IF(D326="","",D326-$D$8)</x:f>
      </x:c>
      <x:c r="O326" s="46" t="str">
        <x:f>IF(D326="","",MAX(0,MIN(1,N326/Configuracion!$B$10)))</x:f>
      </x:c>
    </x:row>
    <x:row r="327">
      <x:c r="A327" s="34"/>
      <x:c r="B327" s="36"/>
      <x:c r="C327" s="72"/>
      <x:c r="D327" s="71"/>
      <x:c r="E327" s="41" t="str">
        <x:f>IF(D327="","",D327+273.15)</x:f>
      </x:c>
      <x:c r="F327" s="44" t="str">
        <x:f>IF(OR(C327="",D327="",C326=""),"",(C327-C326)/60)</x:f>
      </x:c>
      <x:c r="G327" s="44" t="str">
        <x:f>IF(D327="","",EXP(-Configuracion!$B$4/Configuracion!$B$5*(1/AVERAGE(E326:E327)-1/(Configuracion!$B$3+273.15))))</x:f>
      </x:c>
      <x:c r="H327" s="44" t="str">
        <x:f>IF(D327="","",F327*G327)</x:f>
      </x:c>
      <x:c r="I327" s="44" t="str">
        <x:f>IF(D327="","",I326+H327)</x:f>
      </x:c>
      <x:c r="J327" s="46" t="str">
        <x:f>IF(D327="","",MIN(1,I327/Configuracion!$B$11))</x:f>
      </x:c>
      <x:c r="K327" s="48" t="str">
        <x:f>IF(D327="","",MAX(0,(Configuracion!$B$11-I327)/G327))</x:f>
      </x:c>
      <x:c r="L327" s="73" t="str">
        <x:f>IF(D327="","",C327+K327*60)</x:f>
      </x:c>
      <x:c r="M327" t="str">
        <x:f>IF(D327="","",IF(J327&gt;=Configuracion!$B$13,"DESLIZAR",IF(J327&gt;=Configuracion!$B$12,"PREPARARSE","NO DESLIZAR")))</x:f>
      </x:c>
      <x:c r="N327" s="41" t="str">
        <x:f>IF(D327="","",D327-$D$8)</x:f>
      </x:c>
      <x:c r="O327" s="46" t="str">
        <x:f>IF(D327="","",MAX(0,MIN(1,N327/Configuracion!$B$10)))</x:f>
      </x:c>
    </x:row>
    <x:row r="328">
      <x:c r="A328" s="34"/>
      <x:c r="B328" s="36"/>
      <x:c r="C328" s="72"/>
      <x:c r="D328" s="71"/>
      <x:c r="E328" s="41" t="str">
        <x:f>IF(D328="","",D328+273.15)</x:f>
      </x:c>
      <x:c r="F328" s="44" t="str">
        <x:f>IF(OR(C328="",D328="",C327=""),"",(C328-C327)/60)</x:f>
      </x:c>
      <x:c r="G328" s="44" t="str">
        <x:f>IF(D328="","",EXP(-Configuracion!$B$4/Configuracion!$B$5*(1/AVERAGE(E327:E328)-1/(Configuracion!$B$3+273.15))))</x:f>
      </x:c>
      <x:c r="H328" s="44" t="str">
        <x:f>IF(D328="","",F328*G328)</x:f>
      </x:c>
      <x:c r="I328" s="44" t="str">
        <x:f>IF(D328="","",I327+H328)</x:f>
      </x:c>
      <x:c r="J328" s="46" t="str">
        <x:f>IF(D328="","",MIN(1,I328/Configuracion!$B$11))</x:f>
      </x:c>
      <x:c r="K328" s="48" t="str">
        <x:f>IF(D328="","",MAX(0,(Configuracion!$B$11-I328)/G328))</x:f>
      </x:c>
      <x:c r="L328" s="73" t="str">
        <x:f>IF(D328="","",C328+K328*60)</x:f>
      </x:c>
      <x:c r="M328" t="str">
        <x:f>IF(D328="","",IF(J328&gt;=Configuracion!$B$13,"DESLIZAR",IF(J328&gt;=Configuracion!$B$12,"PREPARARSE","NO DESLIZAR")))</x:f>
      </x:c>
      <x:c r="N328" s="41" t="str">
        <x:f>IF(D328="","",D328-$D$8)</x:f>
      </x:c>
      <x:c r="O328" s="46" t="str">
        <x:f>IF(D328="","",MAX(0,MIN(1,N328/Configuracion!$B$10)))</x:f>
      </x:c>
    </x:row>
    <x:row r="329">
      <x:c r="A329" s="34"/>
      <x:c r="B329" s="36"/>
      <x:c r="C329" s="72"/>
      <x:c r="D329" s="71"/>
      <x:c r="E329" s="41" t="str">
        <x:f>IF(D329="","",D329+273.15)</x:f>
      </x:c>
      <x:c r="F329" s="44" t="str">
        <x:f>IF(OR(C329="",D329="",C328=""),"",(C329-C328)/60)</x:f>
      </x:c>
      <x:c r="G329" s="44" t="str">
        <x:f>IF(D329="","",EXP(-Configuracion!$B$4/Configuracion!$B$5*(1/AVERAGE(E328:E329)-1/(Configuracion!$B$3+273.15))))</x:f>
      </x:c>
      <x:c r="H329" s="44" t="str">
        <x:f>IF(D329="","",F329*G329)</x:f>
      </x:c>
      <x:c r="I329" s="44" t="str">
        <x:f>IF(D329="","",I328+H329)</x:f>
      </x:c>
      <x:c r="J329" s="46" t="str">
        <x:f>IF(D329="","",MIN(1,I329/Configuracion!$B$11))</x:f>
      </x:c>
      <x:c r="K329" s="48" t="str">
        <x:f>IF(D329="","",MAX(0,(Configuracion!$B$11-I329)/G329))</x:f>
      </x:c>
      <x:c r="L329" s="73" t="str">
        <x:f>IF(D329="","",C329+K329*60)</x:f>
      </x:c>
      <x:c r="M329" t="str">
        <x:f>IF(D329="","",IF(J329&gt;=Configuracion!$B$13,"DESLIZAR",IF(J329&gt;=Configuracion!$B$12,"PREPARARSE","NO DESLIZAR")))</x:f>
      </x:c>
      <x:c r="N329" s="41" t="str">
        <x:f>IF(D329="","",D329-$D$8)</x:f>
      </x:c>
      <x:c r="O329" s="46" t="str">
        <x:f>IF(D329="","",MAX(0,MIN(1,N329/Configuracion!$B$10)))</x:f>
      </x:c>
    </x:row>
    <x:row r="330">
      <x:c r="A330" s="34"/>
      <x:c r="B330" s="36"/>
      <x:c r="C330" s="72"/>
      <x:c r="D330" s="71"/>
      <x:c r="E330" s="41" t="str">
        <x:f>IF(D330="","",D330+273.15)</x:f>
      </x:c>
      <x:c r="F330" s="44" t="str">
        <x:f>IF(OR(C330="",D330="",C329=""),"",(C330-C329)/60)</x:f>
      </x:c>
      <x:c r="G330" s="44" t="str">
        <x:f>IF(D330="","",EXP(-Configuracion!$B$4/Configuracion!$B$5*(1/AVERAGE(E329:E330)-1/(Configuracion!$B$3+273.15))))</x:f>
      </x:c>
      <x:c r="H330" s="44" t="str">
        <x:f>IF(D330="","",F330*G330)</x:f>
      </x:c>
      <x:c r="I330" s="44" t="str">
        <x:f>IF(D330="","",I329+H330)</x:f>
      </x:c>
      <x:c r="J330" s="46" t="str">
        <x:f>IF(D330="","",MIN(1,I330/Configuracion!$B$11))</x:f>
      </x:c>
      <x:c r="K330" s="48" t="str">
        <x:f>IF(D330="","",MAX(0,(Configuracion!$B$11-I330)/G330))</x:f>
      </x:c>
      <x:c r="L330" s="73" t="str">
        <x:f>IF(D330="","",C330+K330*60)</x:f>
      </x:c>
      <x:c r="M330" t="str">
        <x:f>IF(D330="","",IF(J330&gt;=Configuracion!$B$13,"DESLIZAR",IF(J330&gt;=Configuracion!$B$12,"PREPARARSE","NO DESLIZAR")))</x:f>
      </x:c>
      <x:c r="N330" s="41" t="str">
        <x:f>IF(D330="","",D330-$D$8)</x:f>
      </x:c>
      <x:c r="O330" s="46" t="str">
        <x:f>IF(D330="","",MAX(0,MIN(1,N330/Configuracion!$B$10)))</x:f>
      </x:c>
    </x:row>
    <x:row r="331">
      <x:c r="A331" s="34"/>
      <x:c r="B331" s="36"/>
      <x:c r="C331" s="72"/>
      <x:c r="D331" s="71"/>
      <x:c r="E331" s="41" t="str">
        <x:f>IF(D331="","",D331+273.15)</x:f>
      </x:c>
      <x:c r="F331" s="44" t="str">
        <x:f>IF(OR(C331="",D331="",C330=""),"",(C331-C330)/60)</x:f>
      </x:c>
      <x:c r="G331" s="44" t="str">
        <x:f>IF(D331="","",EXP(-Configuracion!$B$4/Configuracion!$B$5*(1/AVERAGE(E330:E331)-1/(Configuracion!$B$3+273.15))))</x:f>
      </x:c>
      <x:c r="H331" s="44" t="str">
        <x:f>IF(D331="","",F331*G331)</x:f>
      </x:c>
      <x:c r="I331" s="44" t="str">
        <x:f>IF(D331="","",I330+H331)</x:f>
      </x:c>
      <x:c r="J331" s="46" t="str">
        <x:f>IF(D331="","",MIN(1,I331/Configuracion!$B$11))</x:f>
      </x:c>
      <x:c r="K331" s="48" t="str">
        <x:f>IF(D331="","",MAX(0,(Configuracion!$B$11-I331)/G331))</x:f>
      </x:c>
      <x:c r="L331" s="73" t="str">
        <x:f>IF(D331="","",C331+K331*60)</x:f>
      </x:c>
      <x:c r="M331" t="str">
        <x:f>IF(D331="","",IF(J331&gt;=Configuracion!$B$13,"DESLIZAR",IF(J331&gt;=Configuracion!$B$12,"PREPARARSE","NO DESLIZAR")))</x:f>
      </x:c>
      <x:c r="N331" s="41" t="str">
        <x:f>IF(D331="","",D331-$D$8)</x:f>
      </x:c>
      <x:c r="O331" s="46" t="str">
        <x:f>IF(D331="","",MAX(0,MIN(1,N331/Configuracion!$B$10)))</x:f>
      </x:c>
    </x:row>
    <x:row r="332">
      <x:c r="A332" s="34"/>
      <x:c r="B332" s="36"/>
      <x:c r="C332" s="72"/>
      <x:c r="D332" s="71"/>
      <x:c r="E332" s="41" t="str">
        <x:f>IF(D332="","",D332+273.15)</x:f>
      </x:c>
      <x:c r="F332" s="44" t="str">
        <x:f>IF(OR(C332="",D332="",C331=""),"",(C332-C331)/60)</x:f>
      </x:c>
      <x:c r="G332" s="44" t="str">
        <x:f>IF(D332="","",EXP(-Configuracion!$B$4/Configuracion!$B$5*(1/AVERAGE(E331:E332)-1/(Configuracion!$B$3+273.15))))</x:f>
      </x:c>
      <x:c r="H332" s="44" t="str">
        <x:f>IF(D332="","",F332*G332)</x:f>
      </x:c>
      <x:c r="I332" s="44" t="str">
        <x:f>IF(D332="","",I331+H332)</x:f>
      </x:c>
      <x:c r="J332" s="46" t="str">
        <x:f>IF(D332="","",MIN(1,I332/Configuracion!$B$11))</x:f>
      </x:c>
      <x:c r="K332" s="48" t="str">
        <x:f>IF(D332="","",MAX(0,(Configuracion!$B$11-I332)/G332))</x:f>
      </x:c>
      <x:c r="L332" s="73" t="str">
        <x:f>IF(D332="","",C332+K332*60)</x:f>
      </x:c>
      <x:c r="M332" t="str">
        <x:f>IF(D332="","",IF(J332&gt;=Configuracion!$B$13,"DESLIZAR",IF(J332&gt;=Configuracion!$B$12,"PREPARARSE","NO DESLIZAR")))</x:f>
      </x:c>
      <x:c r="N332" s="41" t="str">
        <x:f>IF(D332="","",D332-$D$8)</x:f>
      </x:c>
      <x:c r="O332" s="46" t="str">
        <x:f>IF(D332="","",MAX(0,MIN(1,N332/Configuracion!$B$10)))</x:f>
      </x:c>
    </x:row>
    <x:row r="333">
      <x:c r="A333" s="34"/>
      <x:c r="B333" s="36"/>
      <x:c r="C333" s="72"/>
      <x:c r="D333" s="71"/>
      <x:c r="E333" s="41" t="str">
        <x:f>IF(D333="","",D333+273.15)</x:f>
      </x:c>
      <x:c r="F333" s="44" t="str">
        <x:f>IF(OR(C333="",D333="",C332=""),"",(C333-C332)/60)</x:f>
      </x:c>
      <x:c r="G333" s="44" t="str">
        <x:f>IF(D333="","",EXP(-Configuracion!$B$4/Configuracion!$B$5*(1/AVERAGE(E332:E333)-1/(Configuracion!$B$3+273.15))))</x:f>
      </x:c>
      <x:c r="H333" s="44" t="str">
        <x:f>IF(D333="","",F333*G333)</x:f>
      </x:c>
      <x:c r="I333" s="44" t="str">
        <x:f>IF(D333="","",I332+H333)</x:f>
      </x:c>
      <x:c r="J333" s="46" t="str">
        <x:f>IF(D333="","",MIN(1,I333/Configuracion!$B$11))</x:f>
      </x:c>
      <x:c r="K333" s="48" t="str">
        <x:f>IF(D333="","",MAX(0,(Configuracion!$B$11-I333)/G333))</x:f>
      </x:c>
      <x:c r="L333" s="73" t="str">
        <x:f>IF(D333="","",C333+K333*60)</x:f>
      </x:c>
      <x:c r="M333" t="str">
        <x:f>IF(D333="","",IF(J333&gt;=Configuracion!$B$13,"DESLIZAR",IF(J333&gt;=Configuracion!$B$12,"PREPARARSE","NO DESLIZAR")))</x:f>
      </x:c>
      <x:c r="N333" s="41" t="str">
        <x:f>IF(D333="","",D333-$D$8)</x:f>
      </x:c>
      <x:c r="O333" s="46" t="str">
        <x:f>IF(D333="","",MAX(0,MIN(1,N333/Configuracion!$B$10)))</x:f>
      </x:c>
    </x:row>
    <x:row r="334">
      <x:c r="A334" s="34"/>
      <x:c r="B334" s="36"/>
      <x:c r="C334" s="72"/>
      <x:c r="D334" s="71"/>
      <x:c r="E334" s="41" t="str">
        <x:f>IF(D334="","",D334+273.15)</x:f>
      </x:c>
      <x:c r="F334" s="44" t="str">
        <x:f>IF(OR(C334="",D334="",C333=""),"",(C334-C333)/60)</x:f>
      </x:c>
      <x:c r="G334" s="44" t="str">
        <x:f>IF(D334="","",EXP(-Configuracion!$B$4/Configuracion!$B$5*(1/AVERAGE(E333:E334)-1/(Configuracion!$B$3+273.15))))</x:f>
      </x:c>
      <x:c r="H334" s="44" t="str">
        <x:f>IF(D334="","",F334*G334)</x:f>
      </x:c>
      <x:c r="I334" s="44" t="str">
        <x:f>IF(D334="","",I333+H334)</x:f>
      </x:c>
      <x:c r="J334" s="46" t="str">
        <x:f>IF(D334="","",MIN(1,I334/Configuracion!$B$11))</x:f>
      </x:c>
      <x:c r="K334" s="48" t="str">
        <x:f>IF(D334="","",MAX(0,(Configuracion!$B$11-I334)/G334))</x:f>
      </x:c>
      <x:c r="L334" s="73" t="str">
        <x:f>IF(D334="","",C334+K334*60)</x:f>
      </x:c>
      <x:c r="M334" t="str">
        <x:f>IF(D334="","",IF(J334&gt;=Configuracion!$B$13,"DESLIZAR",IF(J334&gt;=Configuracion!$B$12,"PREPARARSE","NO DESLIZAR")))</x:f>
      </x:c>
      <x:c r="N334" s="41" t="str">
        <x:f>IF(D334="","",D334-$D$8)</x:f>
      </x:c>
      <x:c r="O334" s="46" t="str">
        <x:f>IF(D334="","",MAX(0,MIN(1,N334/Configuracion!$B$10)))</x:f>
      </x:c>
    </x:row>
    <x:row r="335">
      <x:c r="A335" s="34"/>
      <x:c r="B335" s="36"/>
      <x:c r="C335" s="72"/>
      <x:c r="D335" s="71"/>
      <x:c r="E335" s="41" t="str">
        <x:f>IF(D335="","",D335+273.15)</x:f>
      </x:c>
      <x:c r="F335" s="44" t="str">
        <x:f>IF(OR(C335="",D335="",C334=""),"",(C335-C334)/60)</x:f>
      </x:c>
      <x:c r="G335" s="44" t="str">
        <x:f>IF(D335="","",EXP(-Configuracion!$B$4/Configuracion!$B$5*(1/AVERAGE(E334:E335)-1/(Configuracion!$B$3+273.15))))</x:f>
      </x:c>
      <x:c r="H335" s="44" t="str">
        <x:f>IF(D335="","",F335*G335)</x:f>
      </x:c>
      <x:c r="I335" s="44" t="str">
        <x:f>IF(D335="","",I334+H335)</x:f>
      </x:c>
      <x:c r="J335" s="46" t="str">
        <x:f>IF(D335="","",MIN(1,I335/Configuracion!$B$11))</x:f>
      </x:c>
      <x:c r="K335" s="48" t="str">
        <x:f>IF(D335="","",MAX(0,(Configuracion!$B$11-I335)/G335))</x:f>
      </x:c>
      <x:c r="L335" s="73" t="str">
        <x:f>IF(D335="","",C335+K335*60)</x:f>
      </x:c>
      <x:c r="M335" t="str">
        <x:f>IF(D335="","",IF(J335&gt;=Configuracion!$B$13,"DESLIZAR",IF(J335&gt;=Configuracion!$B$12,"PREPARARSE","NO DESLIZAR")))</x:f>
      </x:c>
      <x:c r="N335" s="41" t="str">
        <x:f>IF(D335="","",D335-$D$8)</x:f>
      </x:c>
      <x:c r="O335" s="46" t="str">
        <x:f>IF(D335="","",MAX(0,MIN(1,N335/Configuracion!$B$10)))</x:f>
      </x:c>
    </x:row>
    <x:row r="336">
      <x:c r="A336" s="34"/>
      <x:c r="B336" s="36"/>
      <x:c r="C336" s="72"/>
      <x:c r="D336" s="71"/>
      <x:c r="E336" s="41" t="str">
        <x:f>IF(D336="","",D336+273.15)</x:f>
      </x:c>
      <x:c r="F336" s="44" t="str">
        <x:f>IF(OR(C336="",D336="",C335=""),"",(C336-C335)/60)</x:f>
      </x:c>
      <x:c r="G336" s="44" t="str">
        <x:f>IF(D336="","",EXP(-Configuracion!$B$4/Configuracion!$B$5*(1/AVERAGE(E335:E336)-1/(Configuracion!$B$3+273.15))))</x:f>
      </x:c>
      <x:c r="H336" s="44" t="str">
        <x:f>IF(D336="","",F336*G336)</x:f>
      </x:c>
      <x:c r="I336" s="44" t="str">
        <x:f>IF(D336="","",I335+H336)</x:f>
      </x:c>
      <x:c r="J336" s="46" t="str">
        <x:f>IF(D336="","",MIN(1,I336/Configuracion!$B$11))</x:f>
      </x:c>
      <x:c r="K336" s="48" t="str">
        <x:f>IF(D336="","",MAX(0,(Configuracion!$B$11-I336)/G336))</x:f>
      </x:c>
      <x:c r="L336" s="73" t="str">
        <x:f>IF(D336="","",C336+K336*60)</x:f>
      </x:c>
      <x:c r="M336" t="str">
        <x:f>IF(D336="","",IF(J336&gt;=Configuracion!$B$13,"DESLIZAR",IF(J336&gt;=Configuracion!$B$12,"PREPARARSE","NO DESLIZAR")))</x:f>
      </x:c>
      <x:c r="N336" s="41" t="str">
        <x:f>IF(D336="","",D336-$D$8)</x:f>
      </x:c>
      <x:c r="O336" s="46" t="str">
        <x:f>IF(D336="","",MAX(0,MIN(1,N336/Configuracion!$B$10)))</x:f>
      </x:c>
    </x:row>
    <x:row r="337">
      <x:c r="A337" s="34"/>
      <x:c r="B337" s="36"/>
      <x:c r="C337" s="72"/>
      <x:c r="D337" s="71"/>
      <x:c r="E337" s="41" t="str">
        <x:f>IF(D337="","",D337+273.15)</x:f>
      </x:c>
      <x:c r="F337" s="44" t="str">
        <x:f>IF(OR(C337="",D337="",C336=""),"",(C337-C336)/60)</x:f>
      </x:c>
      <x:c r="G337" s="44" t="str">
        <x:f>IF(D337="","",EXP(-Configuracion!$B$4/Configuracion!$B$5*(1/AVERAGE(E336:E337)-1/(Configuracion!$B$3+273.15))))</x:f>
      </x:c>
      <x:c r="H337" s="44" t="str">
        <x:f>IF(D337="","",F337*G337)</x:f>
      </x:c>
      <x:c r="I337" s="44" t="str">
        <x:f>IF(D337="","",I336+H337)</x:f>
      </x:c>
      <x:c r="J337" s="46" t="str">
        <x:f>IF(D337="","",MIN(1,I337/Configuracion!$B$11))</x:f>
      </x:c>
      <x:c r="K337" s="48" t="str">
        <x:f>IF(D337="","",MAX(0,(Configuracion!$B$11-I337)/G337))</x:f>
      </x:c>
      <x:c r="L337" s="73" t="str">
        <x:f>IF(D337="","",C337+K337*60)</x:f>
      </x:c>
      <x:c r="M337" t="str">
        <x:f>IF(D337="","",IF(J337&gt;=Configuracion!$B$13,"DESLIZAR",IF(J337&gt;=Configuracion!$B$12,"PREPARARSE","NO DESLIZAR")))</x:f>
      </x:c>
      <x:c r="N337" s="41" t="str">
        <x:f>IF(D337="","",D337-$D$8)</x:f>
      </x:c>
      <x:c r="O337" s="46" t="str">
        <x:f>IF(D337="","",MAX(0,MIN(1,N337/Configuracion!$B$10)))</x:f>
      </x:c>
    </x:row>
    <x:row r="338">
      <x:c r="A338" s="34"/>
      <x:c r="B338" s="36"/>
      <x:c r="C338" s="72"/>
      <x:c r="D338" s="71"/>
      <x:c r="E338" s="41" t="str">
        <x:f>IF(D338="","",D338+273.15)</x:f>
      </x:c>
      <x:c r="F338" s="44" t="str">
        <x:f>IF(OR(C338="",D338="",C337=""),"",(C338-C337)/60)</x:f>
      </x:c>
      <x:c r="G338" s="44" t="str">
        <x:f>IF(D338="","",EXP(-Configuracion!$B$4/Configuracion!$B$5*(1/AVERAGE(E337:E338)-1/(Configuracion!$B$3+273.15))))</x:f>
      </x:c>
      <x:c r="H338" s="44" t="str">
        <x:f>IF(D338="","",F338*G338)</x:f>
      </x:c>
      <x:c r="I338" s="44" t="str">
        <x:f>IF(D338="","",I337+H338)</x:f>
      </x:c>
      <x:c r="J338" s="46" t="str">
        <x:f>IF(D338="","",MIN(1,I338/Configuracion!$B$11))</x:f>
      </x:c>
      <x:c r="K338" s="48" t="str">
        <x:f>IF(D338="","",MAX(0,(Configuracion!$B$11-I338)/G338))</x:f>
      </x:c>
      <x:c r="L338" s="73" t="str">
        <x:f>IF(D338="","",C338+K338*60)</x:f>
      </x:c>
      <x:c r="M338" t="str">
        <x:f>IF(D338="","",IF(J338&gt;=Configuracion!$B$13,"DESLIZAR",IF(J338&gt;=Configuracion!$B$12,"PREPARARSE","NO DESLIZAR")))</x:f>
      </x:c>
      <x:c r="N338" s="41" t="str">
        <x:f>IF(D338="","",D338-$D$8)</x:f>
      </x:c>
      <x:c r="O338" s="46" t="str">
        <x:f>IF(D338="","",MAX(0,MIN(1,N338/Configuracion!$B$10)))</x:f>
      </x:c>
    </x:row>
    <x:row r="339">
      <x:c r="A339" s="34"/>
      <x:c r="B339" s="36"/>
      <x:c r="C339" s="72"/>
      <x:c r="D339" s="71"/>
      <x:c r="E339" s="41" t="str">
        <x:f>IF(D339="","",D339+273.15)</x:f>
      </x:c>
      <x:c r="F339" s="44" t="str">
        <x:f>IF(OR(C339="",D339="",C338=""),"",(C339-C338)/60)</x:f>
      </x:c>
      <x:c r="G339" s="44" t="str">
        <x:f>IF(D339="","",EXP(-Configuracion!$B$4/Configuracion!$B$5*(1/AVERAGE(E338:E339)-1/(Configuracion!$B$3+273.15))))</x:f>
      </x:c>
      <x:c r="H339" s="44" t="str">
        <x:f>IF(D339="","",F339*G339)</x:f>
      </x:c>
      <x:c r="I339" s="44" t="str">
        <x:f>IF(D339="","",I338+H339)</x:f>
      </x:c>
      <x:c r="J339" s="46" t="str">
        <x:f>IF(D339="","",MIN(1,I339/Configuracion!$B$11))</x:f>
      </x:c>
      <x:c r="K339" s="48" t="str">
        <x:f>IF(D339="","",MAX(0,(Configuracion!$B$11-I339)/G339))</x:f>
      </x:c>
      <x:c r="L339" s="73" t="str">
        <x:f>IF(D339="","",C339+K339*60)</x:f>
      </x:c>
      <x:c r="M339" t="str">
        <x:f>IF(D339="","",IF(J339&gt;=Configuracion!$B$13,"DESLIZAR",IF(J339&gt;=Configuracion!$B$12,"PREPARARSE","NO DESLIZAR")))</x:f>
      </x:c>
      <x:c r="N339" s="41" t="str">
        <x:f>IF(D339="","",D339-$D$8)</x:f>
      </x:c>
      <x:c r="O339" s="46" t="str">
        <x:f>IF(D339="","",MAX(0,MIN(1,N339/Configuracion!$B$10)))</x:f>
      </x:c>
    </x:row>
    <x:row r="340">
      <x:c r="A340" s="34"/>
      <x:c r="B340" s="36"/>
      <x:c r="C340" s="72"/>
      <x:c r="D340" s="71"/>
      <x:c r="E340" s="41" t="str">
        <x:f>IF(D340="","",D340+273.15)</x:f>
      </x:c>
      <x:c r="F340" s="44" t="str">
        <x:f>IF(OR(C340="",D340="",C339=""),"",(C340-C339)/60)</x:f>
      </x:c>
      <x:c r="G340" s="44" t="str">
        <x:f>IF(D340="","",EXP(-Configuracion!$B$4/Configuracion!$B$5*(1/AVERAGE(E339:E340)-1/(Configuracion!$B$3+273.15))))</x:f>
      </x:c>
      <x:c r="H340" s="44" t="str">
        <x:f>IF(D340="","",F340*G340)</x:f>
      </x:c>
      <x:c r="I340" s="44" t="str">
        <x:f>IF(D340="","",I339+H340)</x:f>
      </x:c>
      <x:c r="J340" s="46" t="str">
        <x:f>IF(D340="","",MIN(1,I340/Configuracion!$B$11))</x:f>
      </x:c>
      <x:c r="K340" s="48" t="str">
        <x:f>IF(D340="","",MAX(0,(Configuracion!$B$11-I340)/G340))</x:f>
      </x:c>
      <x:c r="L340" s="73" t="str">
        <x:f>IF(D340="","",C340+K340*60)</x:f>
      </x:c>
      <x:c r="M340" t="str">
        <x:f>IF(D340="","",IF(J340&gt;=Configuracion!$B$13,"DESLIZAR",IF(J340&gt;=Configuracion!$B$12,"PREPARARSE","NO DESLIZAR")))</x:f>
      </x:c>
      <x:c r="N340" s="41" t="str">
        <x:f>IF(D340="","",D340-$D$8)</x:f>
      </x:c>
      <x:c r="O340" s="46" t="str">
        <x:f>IF(D340="","",MAX(0,MIN(1,N340/Configuracion!$B$10)))</x:f>
      </x:c>
    </x:row>
    <x:row r="341">
      <x:c r="A341" s="34"/>
      <x:c r="B341" s="36"/>
      <x:c r="C341" s="72"/>
      <x:c r="D341" s="71"/>
      <x:c r="E341" s="41" t="str">
        <x:f>IF(D341="","",D341+273.15)</x:f>
      </x:c>
      <x:c r="F341" s="44" t="str">
        <x:f>IF(OR(C341="",D341="",C340=""),"",(C341-C340)/60)</x:f>
      </x:c>
      <x:c r="G341" s="44" t="str">
        <x:f>IF(D341="","",EXP(-Configuracion!$B$4/Configuracion!$B$5*(1/AVERAGE(E340:E341)-1/(Configuracion!$B$3+273.15))))</x:f>
      </x:c>
      <x:c r="H341" s="44" t="str">
        <x:f>IF(D341="","",F341*G341)</x:f>
      </x:c>
      <x:c r="I341" s="44" t="str">
        <x:f>IF(D341="","",I340+H341)</x:f>
      </x:c>
      <x:c r="J341" s="46" t="str">
        <x:f>IF(D341="","",MIN(1,I341/Configuracion!$B$11))</x:f>
      </x:c>
      <x:c r="K341" s="48" t="str">
        <x:f>IF(D341="","",MAX(0,(Configuracion!$B$11-I341)/G341))</x:f>
      </x:c>
      <x:c r="L341" s="73" t="str">
        <x:f>IF(D341="","",C341+K341*60)</x:f>
      </x:c>
      <x:c r="M341" t="str">
        <x:f>IF(D341="","",IF(J341&gt;=Configuracion!$B$13,"DESLIZAR",IF(J341&gt;=Configuracion!$B$12,"PREPARARSE","NO DESLIZAR")))</x:f>
      </x:c>
      <x:c r="N341" s="41" t="str">
        <x:f>IF(D341="","",D341-$D$8)</x:f>
      </x:c>
      <x:c r="O341" s="46" t="str">
        <x:f>IF(D341="","",MAX(0,MIN(1,N341/Configuracion!$B$10)))</x:f>
      </x:c>
    </x:row>
    <x:row r="342">
      <x:c r="A342" s="34"/>
      <x:c r="B342" s="36"/>
      <x:c r="C342" s="72"/>
      <x:c r="D342" s="71"/>
      <x:c r="E342" s="41" t="str">
        <x:f>IF(D342="","",D342+273.15)</x:f>
      </x:c>
      <x:c r="F342" s="44" t="str">
        <x:f>IF(OR(C342="",D342="",C341=""),"",(C342-C341)/60)</x:f>
      </x:c>
      <x:c r="G342" s="44" t="str">
        <x:f>IF(D342="","",EXP(-Configuracion!$B$4/Configuracion!$B$5*(1/AVERAGE(E341:E342)-1/(Configuracion!$B$3+273.15))))</x:f>
      </x:c>
      <x:c r="H342" s="44" t="str">
        <x:f>IF(D342="","",F342*G342)</x:f>
      </x:c>
      <x:c r="I342" s="44" t="str">
        <x:f>IF(D342="","",I341+H342)</x:f>
      </x:c>
      <x:c r="J342" s="46" t="str">
        <x:f>IF(D342="","",MIN(1,I342/Configuracion!$B$11))</x:f>
      </x:c>
      <x:c r="K342" s="48" t="str">
        <x:f>IF(D342="","",MAX(0,(Configuracion!$B$11-I342)/G342))</x:f>
      </x:c>
      <x:c r="L342" s="73" t="str">
        <x:f>IF(D342="","",C342+K342*60)</x:f>
      </x:c>
      <x:c r="M342" t="str">
        <x:f>IF(D342="","",IF(J342&gt;=Configuracion!$B$13,"DESLIZAR",IF(J342&gt;=Configuracion!$B$12,"PREPARARSE","NO DESLIZAR")))</x:f>
      </x:c>
      <x:c r="N342" s="41" t="str">
        <x:f>IF(D342="","",D342-$D$8)</x:f>
      </x:c>
      <x:c r="O342" s="46" t="str">
        <x:f>IF(D342="","",MAX(0,MIN(1,N342/Configuracion!$B$10)))</x:f>
      </x:c>
    </x:row>
    <x:row r="343">
      <x:c r="A343" s="34"/>
      <x:c r="B343" s="36"/>
      <x:c r="C343" s="72"/>
      <x:c r="D343" s="71"/>
      <x:c r="E343" s="41" t="str">
        <x:f>IF(D343="","",D343+273.15)</x:f>
      </x:c>
      <x:c r="F343" s="44" t="str">
        <x:f>IF(OR(C343="",D343="",C342=""),"",(C343-C342)/60)</x:f>
      </x:c>
      <x:c r="G343" s="44" t="str">
        <x:f>IF(D343="","",EXP(-Configuracion!$B$4/Configuracion!$B$5*(1/AVERAGE(E342:E343)-1/(Configuracion!$B$3+273.15))))</x:f>
      </x:c>
      <x:c r="H343" s="44" t="str">
        <x:f>IF(D343="","",F343*G343)</x:f>
      </x:c>
      <x:c r="I343" s="44" t="str">
        <x:f>IF(D343="","",I342+H343)</x:f>
      </x:c>
      <x:c r="J343" s="46" t="str">
        <x:f>IF(D343="","",MIN(1,I343/Configuracion!$B$11))</x:f>
      </x:c>
      <x:c r="K343" s="48" t="str">
        <x:f>IF(D343="","",MAX(0,(Configuracion!$B$11-I343)/G343))</x:f>
      </x:c>
      <x:c r="L343" s="73" t="str">
        <x:f>IF(D343="","",C343+K343*60)</x:f>
      </x:c>
      <x:c r="M343" t="str">
        <x:f>IF(D343="","",IF(J343&gt;=Configuracion!$B$13,"DESLIZAR",IF(J343&gt;=Configuracion!$B$12,"PREPARARSE","NO DESLIZAR")))</x:f>
      </x:c>
      <x:c r="N343" s="41" t="str">
        <x:f>IF(D343="","",D343-$D$8)</x:f>
      </x:c>
      <x:c r="O343" s="46" t="str">
        <x:f>IF(D343="","",MAX(0,MIN(1,N343/Configuracion!$B$10)))</x:f>
      </x:c>
    </x:row>
    <x:row r="344">
      <x:c r="A344" s="34"/>
      <x:c r="B344" s="36"/>
      <x:c r="C344" s="72"/>
      <x:c r="D344" s="71"/>
      <x:c r="E344" s="41" t="str">
        <x:f>IF(D344="","",D344+273.15)</x:f>
      </x:c>
      <x:c r="F344" s="44" t="str">
        <x:f>IF(OR(C344="",D344="",C343=""),"",(C344-C343)/60)</x:f>
      </x:c>
      <x:c r="G344" s="44" t="str">
        <x:f>IF(D344="","",EXP(-Configuracion!$B$4/Configuracion!$B$5*(1/AVERAGE(E343:E344)-1/(Configuracion!$B$3+273.15))))</x:f>
      </x:c>
      <x:c r="H344" s="44" t="str">
        <x:f>IF(D344="","",F344*G344)</x:f>
      </x:c>
      <x:c r="I344" s="44" t="str">
        <x:f>IF(D344="","",I343+H344)</x:f>
      </x:c>
      <x:c r="J344" s="46" t="str">
        <x:f>IF(D344="","",MIN(1,I344/Configuracion!$B$11))</x:f>
      </x:c>
      <x:c r="K344" s="48" t="str">
        <x:f>IF(D344="","",MAX(0,(Configuracion!$B$11-I344)/G344))</x:f>
      </x:c>
      <x:c r="L344" s="73" t="str">
        <x:f>IF(D344="","",C344+K344*60)</x:f>
      </x:c>
      <x:c r="M344" t="str">
        <x:f>IF(D344="","",IF(J344&gt;=Configuracion!$B$13,"DESLIZAR",IF(J344&gt;=Configuracion!$B$12,"PREPARARSE","NO DESLIZAR")))</x:f>
      </x:c>
      <x:c r="N344" s="41" t="str">
        <x:f>IF(D344="","",D344-$D$8)</x:f>
      </x:c>
      <x:c r="O344" s="46" t="str">
        <x:f>IF(D344="","",MAX(0,MIN(1,N344/Configuracion!$B$10)))</x:f>
      </x:c>
    </x:row>
    <x:row r="345">
      <x:c r="A345" s="34"/>
      <x:c r="B345" s="36"/>
      <x:c r="C345" s="72"/>
      <x:c r="D345" s="71"/>
      <x:c r="E345" s="41" t="str">
        <x:f>IF(D345="","",D345+273.15)</x:f>
      </x:c>
      <x:c r="F345" s="44" t="str">
        <x:f>IF(OR(C345="",D345="",C344=""),"",(C345-C344)/60)</x:f>
      </x:c>
      <x:c r="G345" s="44" t="str">
        <x:f>IF(D345="","",EXP(-Configuracion!$B$4/Configuracion!$B$5*(1/AVERAGE(E344:E345)-1/(Configuracion!$B$3+273.15))))</x:f>
      </x:c>
      <x:c r="H345" s="44" t="str">
        <x:f>IF(D345="","",F345*G345)</x:f>
      </x:c>
      <x:c r="I345" s="44" t="str">
        <x:f>IF(D345="","",I344+H345)</x:f>
      </x:c>
      <x:c r="J345" s="46" t="str">
        <x:f>IF(D345="","",MIN(1,I345/Configuracion!$B$11))</x:f>
      </x:c>
      <x:c r="K345" s="48" t="str">
        <x:f>IF(D345="","",MAX(0,(Configuracion!$B$11-I345)/G345))</x:f>
      </x:c>
      <x:c r="L345" s="73" t="str">
        <x:f>IF(D345="","",C345+K345*60)</x:f>
      </x:c>
      <x:c r="M345" t="str">
        <x:f>IF(D345="","",IF(J345&gt;=Configuracion!$B$13,"DESLIZAR",IF(J345&gt;=Configuracion!$B$12,"PREPARARSE","NO DESLIZAR")))</x:f>
      </x:c>
      <x:c r="N345" s="41" t="str">
        <x:f>IF(D345="","",D345-$D$8)</x:f>
      </x:c>
      <x:c r="O345" s="46" t="str">
        <x:f>IF(D345="","",MAX(0,MIN(1,N345/Configuracion!$B$10)))</x:f>
      </x:c>
    </x:row>
    <x:row r="346">
      <x:c r="A346" s="34"/>
      <x:c r="B346" s="36"/>
      <x:c r="C346" s="72"/>
      <x:c r="D346" s="71"/>
      <x:c r="E346" s="41" t="str">
        <x:f>IF(D346="","",D346+273.15)</x:f>
      </x:c>
      <x:c r="F346" s="44" t="str">
        <x:f>IF(OR(C346="",D346="",C345=""),"",(C346-C345)/60)</x:f>
      </x:c>
      <x:c r="G346" s="44" t="str">
        <x:f>IF(D346="","",EXP(-Configuracion!$B$4/Configuracion!$B$5*(1/AVERAGE(E345:E346)-1/(Configuracion!$B$3+273.15))))</x:f>
      </x:c>
      <x:c r="H346" s="44" t="str">
        <x:f>IF(D346="","",F346*G346)</x:f>
      </x:c>
      <x:c r="I346" s="44" t="str">
        <x:f>IF(D346="","",I345+H346)</x:f>
      </x:c>
      <x:c r="J346" s="46" t="str">
        <x:f>IF(D346="","",MIN(1,I346/Configuracion!$B$11))</x:f>
      </x:c>
      <x:c r="K346" s="48" t="str">
        <x:f>IF(D346="","",MAX(0,(Configuracion!$B$11-I346)/G346))</x:f>
      </x:c>
      <x:c r="L346" s="73" t="str">
        <x:f>IF(D346="","",C346+K346*60)</x:f>
      </x:c>
      <x:c r="M346" t="str">
        <x:f>IF(D346="","",IF(J346&gt;=Configuracion!$B$13,"DESLIZAR",IF(J346&gt;=Configuracion!$B$12,"PREPARARSE","NO DESLIZAR")))</x:f>
      </x:c>
      <x:c r="N346" s="41" t="str">
        <x:f>IF(D346="","",D346-$D$8)</x:f>
      </x:c>
      <x:c r="O346" s="46" t="str">
        <x:f>IF(D346="","",MAX(0,MIN(1,N346/Configuracion!$B$10)))</x:f>
      </x:c>
    </x:row>
    <x:row r="347">
      <x:c r="A347" s="34"/>
      <x:c r="B347" s="36"/>
      <x:c r="C347" s="72"/>
      <x:c r="D347" s="71"/>
      <x:c r="E347" s="41" t="str">
        <x:f>IF(D347="","",D347+273.15)</x:f>
      </x:c>
      <x:c r="F347" s="44" t="str">
        <x:f>IF(OR(C347="",D347="",C346=""),"",(C347-C346)/60)</x:f>
      </x:c>
      <x:c r="G347" s="44" t="str">
        <x:f>IF(D347="","",EXP(-Configuracion!$B$4/Configuracion!$B$5*(1/AVERAGE(E346:E347)-1/(Configuracion!$B$3+273.15))))</x:f>
      </x:c>
      <x:c r="H347" s="44" t="str">
        <x:f>IF(D347="","",F347*G347)</x:f>
      </x:c>
      <x:c r="I347" s="44" t="str">
        <x:f>IF(D347="","",I346+H347)</x:f>
      </x:c>
      <x:c r="J347" s="46" t="str">
        <x:f>IF(D347="","",MIN(1,I347/Configuracion!$B$11))</x:f>
      </x:c>
      <x:c r="K347" s="48" t="str">
        <x:f>IF(D347="","",MAX(0,(Configuracion!$B$11-I347)/G347))</x:f>
      </x:c>
      <x:c r="L347" s="73" t="str">
        <x:f>IF(D347="","",C347+K347*60)</x:f>
      </x:c>
      <x:c r="M347" t="str">
        <x:f>IF(D347="","",IF(J347&gt;=Configuracion!$B$13,"DESLIZAR",IF(J347&gt;=Configuracion!$B$12,"PREPARARSE","NO DESLIZAR")))</x:f>
      </x:c>
      <x:c r="N347" s="41" t="str">
        <x:f>IF(D347="","",D347-$D$8)</x:f>
      </x:c>
      <x:c r="O347" s="46" t="str">
        <x:f>IF(D347="","",MAX(0,MIN(1,N347/Configuracion!$B$10)))</x:f>
      </x:c>
    </x:row>
    <x:row r="348">
      <x:c r="A348" s="34"/>
      <x:c r="B348" s="36"/>
      <x:c r="C348" s="72"/>
      <x:c r="D348" s="71"/>
      <x:c r="E348" s="41" t="str">
        <x:f>IF(D348="","",D348+273.15)</x:f>
      </x:c>
      <x:c r="F348" s="44" t="str">
        <x:f>IF(OR(C348="",D348="",C347=""),"",(C348-C347)/60)</x:f>
      </x:c>
      <x:c r="G348" s="44" t="str">
        <x:f>IF(D348="","",EXP(-Configuracion!$B$4/Configuracion!$B$5*(1/AVERAGE(E347:E348)-1/(Configuracion!$B$3+273.15))))</x:f>
      </x:c>
      <x:c r="H348" s="44" t="str">
        <x:f>IF(D348="","",F348*G348)</x:f>
      </x:c>
      <x:c r="I348" s="44" t="str">
        <x:f>IF(D348="","",I347+H348)</x:f>
      </x:c>
      <x:c r="J348" s="46" t="str">
        <x:f>IF(D348="","",MIN(1,I348/Configuracion!$B$11))</x:f>
      </x:c>
      <x:c r="K348" s="48" t="str">
        <x:f>IF(D348="","",MAX(0,(Configuracion!$B$11-I348)/G348))</x:f>
      </x:c>
      <x:c r="L348" s="73" t="str">
        <x:f>IF(D348="","",C348+K348*60)</x:f>
      </x:c>
      <x:c r="M348" t="str">
        <x:f>IF(D348="","",IF(J348&gt;=Configuracion!$B$13,"DESLIZAR",IF(J348&gt;=Configuracion!$B$12,"PREPARARSE","NO DESLIZAR")))</x:f>
      </x:c>
      <x:c r="N348" s="41" t="str">
        <x:f>IF(D348="","",D348-$D$8)</x:f>
      </x:c>
      <x:c r="O348" s="46" t="str">
        <x:f>IF(D348="","",MAX(0,MIN(1,N348/Configuracion!$B$10)))</x:f>
      </x:c>
    </x:row>
    <x:row r="349">
      <x:c r="A349" s="34"/>
      <x:c r="B349" s="36"/>
      <x:c r="C349" s="72"/>
      <x:c r="D349" s="71"/>
      <x:c r="E349" s="41" t="str">
        <x:f>IF(D349="","",D349+273.15)</x:f>
      </x:c>
      <x:c r="F349" s="44" t="str">
        <x:f>IF(OR(C349="",D349="",C348=""),"",(C349-C348)/60)</x:f>
      </x:c>
      <x:c r="G349" s="44" t="str">
        <x:f>IF(D349="","",EXP(-Configuracion!$B$4/Configuracion!$B$5*(1/AVERAGE(E348:E349)-1/(Configuracion!$B$3+273.15))))</x:f>
      </x:c>
      <x:c r="H349" s="44" t="str">
        <x:f>IF(D349="","",F349*G349)</x:f>
      </x:c>
      <x:c r="I349" s="44" t="str">
        <x:f>IF(D349="","",I348+H349)</x:f>
      </x:c>
      <x:c r="J349" s="46" t="str">
        <x:f>IF(D349="","",MIN(1,I349/Configuracion!$B$11))</x:f>
      </x:c>
      <x:c r="K349" s="48" t="str">
        <x:f>IF(D349="","",MAX(0,(Configuracion!$B$11-I349)/G349))</x:f>
      </x:c>
      <x:c r="L349" s="73" t="str">
        <x:f>IF(D349="","",C349+K349*60)</x:f>
      </x:c>
      <x:c r="M349" t="str">
        <x:f>IF(D349="","",IF(J349&gt;=Configuracion!$B$13,"DESLIZAR",IF(J349&gt;=Configuracion!$B$12,"PREPARARSE","NO DESLIZAR")))</x:f>
      </x:c>
      <x:c r="N349" s="41" t="str">
        <x:f>IF(D349="","",D349-$D$8)</x:f>
      </x:c>
      <x:c r="O349" s="46" t="str">
        <x:f>IF(D349="","",MAX(0,MIN(1,N349/Configuracion!$B$10)))</x:f>
      </x:c>
    </x:row>
    <x:row r="350">
      <x:c r="A350" s="34"/>
      <x:c r="B350" s="36"/>
      <x:c r="C350" s="72"/>
      <x:c r="D350" s="71"/>
      <x:c r="E350" s="41" t="str">
        <x:f>IF(D350="","",D350+273.15)</x:f>
      </x:c>
      <x:c r="F350" s="44" t="str">
        <x:f>IF(OR(C350="",D350="",C349=""),"",(C350-C349)/60)</x:f>
      </x:c>
      <x:c r="G350" s="44" t="str">
        <x:f>IF(D350="","",EXP(-Configuracion!$B$4/Configuracion!$B$5*(1/AVERAGE(E349:E350)-1/(Configuracion!$B$3+273.15))))</x:f>
      </x:c>
      <x:c r="H350" s="44" t="str">
        <x:f>IF(D350="","",F350*G350)</x:f>
      </x:c>
      <x:c r="I350" s="44" t="str">
        <x:f>IF(D350="","",I349+H350)</x:f>
      </x:c>
      <x:c r="J350" s="46" t="str">
        <x:f>IF(D350="","",MIN(1,I350/Configuracion!$B$11))</x:f>
      </x:c>
      <x:c r="K350" s="48" t="str">
        <x:f>IF(D350="","",MAX(0,(Configuracion!$B$11-I350)/G350))</x:f>
      </x:c>
      <x:c r="L350" s="73" t="str">
        <x:f>IF(D350="","",C350+K350*60)</x:f>
      </x:c>
      <x:c r="M350" t="str">
        <x:f>IF(D350="","",IF(J350&gt;=Configuracion!$B$13,"DESLIZAR",IF(J350&gt;=Configuracion!$B$12,"PREPARARSE","NO DESLIZAR")))</x:f>
      </x:c>
      <x:c r="N350" s="41" t="str">
        <x:f>IF(D350="","",D350-$D$8)</x:f>
      </x:c>
      <x:c r="O350" s="46" t="str">
        <x:f>IF(D350="","",MAX(0,MIN(1,N350/Configuracion!$B$10)))</x:f>
      </x:c>
    </x:row>
    <x:row r="351">
      <x:c r="A351" s="34"/>
      <x:c r="B351" s="36"/>
      <x:c r="C351" s="72"/>
      <x:c r="D351" s="71"/>
      <x:c r="E351" s="41" t="str">
        <x:f>IF(D351="","",D351+273.15)</x:f>
      </x:c>
      <x:c r="F351" s="44" t="str">
        <x:f>IF(OR(C351="",D351="",C350=""),"",(C351-C350)/60)</x:f>
      </x:c>
      <x:c r="G351" s="44" t="str">
        <x:f>IF(D351="","",EXP(-Configuracion!$B$4/Configuracion!$B$5*(1/AVERAGE(E350:E351)-1/(Configuracion!$B$3+273.15))))</x:f>
      </x:c>
      <x:c r="H351" s="44" t="str">
        <x:f>IF(D351="","",F351*G351)</x:f>
      </x:c>
      <x:c r="I351" s="44" t="str">
        <x:f>IF(D351="","",I350+H351)</x:f>
      </x:c>
      <x:c r="J351" s="46" t="str">
        <x:f>IF(D351="","",MIN(1,I351/Configuracion!$B$11))</x:f>
      </x:c>
      <x:c r="K351" s="48" t="str">
        <x:f>IF(D351="","",MAX(0,(Configuracion!$B$11-I351)/G351))</x:f>
      </x:c>
      <x:c r="L351" s="73" t="str">
        <x:f>IF(D351="","",C351+K351*60)</x:f>
      </x:c>
      <x:c r="M351" t="str">
        <x:f>IF(D351="","",IF(J351&gt;=Configuracion!$B$13,"DESLIZAR",IF(J351&gt;=Configuracion!$B$12,"PREPARARSE","NO DESLIZAR")))</x:f>
      </x:c>
      <x:c r="N351" s="41" t="str">
        <x:f>IF(D351="","",D351-$D$8)</x:f>
      </x:c>
      <x:c r="O351" s="46" t="str">
        <x:f>IF(D351="","",MAX(0,MIN(1,N351/Configuracion!$B$10)))</x:f>
      </x:c>
    </x:row>
    <x:row r="352">
      <x:c r="A352" s="34"/>
      <x:c r="B352" s="36"/>
      <x:c r="C352" s="72"/>
      <x:c r="D352" s="71"/>
      <x:c r="E352" s="41" t="str">
        <x:f>IF(D352="","",D352+273.15)</x:f>
      </x:c>
      <x:c r="F352" s="44" t="str">
        <x:f>IF(OR(C352="",D352="",C351=""),"",(C352-C351)/60)</x:f>
      </x:c>
      <x:c r="G352" s="44" t="str">
        <x:f>IF(D352="","",EXP(-Configuracion!$B$4/Configuracion!$B$5*(1/AVERAGE(E351:E352)-1/(Configuracion!$B$3+273.15))))</x:f>
      </x:c>
      <x:c r="H352" s="44" t="str">
        <x:f>IF(D352="","",F352*G352)</x:f>
      </x:c>
      <x:c r="I352" s="44" t="str">
        <x:f>IF(D352="","",I351+H352)</x:f>
      </x:c>
      <x:c r="J352" s="46" t="str">
        <x:f>IF(D352="","",MIN(1,I352/Configuracion!$B$11))</x:f>
      </x:c>
      <x:c r="K352" s="48" t="str">
        <x:f>IF(D352="","",MAX(0,(Configuracion!$B$11-I352)/G352))</x:f>
      </x:c>
      <x:c r="L352" s="73" t="str">
        <x:f>IF(D352="","",C352+K352*60)</x:f>
      </x:c>
      <x:c r="M352" t="str">
        <x:f>IF(D352="","",IF(J352&gt;=Configuracion!$B$13,"DESLIZAR",IF(J352&gt;=Configuracion!$B$12,"PREPARARSE","NO DESLIZAR")))</x:f>
      </x:c>
      <x:c r="N352" s="41" t="str">
        <x:f>IF(D352="","",D352-$D$8)</x:f>
      </x:c>
      <x:c r="O352" s="46" t="str">
        <x:f>IF(D352="","",MAX(0,MIN(1,N352/Configuracion!$B$10)))</x:f>
      </x:c>
    </x:row>
    <x:row r="353">
      <x:c r="A353" s="34"/>
      <x:c r="B353" s="36"/>
      <x:c r="C353" s="72"/>
      <x:c r="D353" s="71"/>
      <x:c r="E353" s="41" t="str">
        <x:f>IF(D353="","",D353+273.15)</x:f>
      </x:c>
      <x:c r="F353" s="44" t="str">
        <x:f>IF(OR(C353="",D353="",C352=""),"",(C353-C352)/60)</x:f>
      </x:c>
      <x:c r="G353" s="44" t="str">
        <x:f>IF(D353="","",EXP(-Configuracion!$B$4/Configuracion!$B$5*(1/AVERAGE(E352:E353)-1/(Configuracion!$B$3+273.15))))</x:f>
      </x:c>
      <x:c r="H353" s="44" t="str">
        <x:f>IF(D353="","",F353*G353)</x:f>
      </x:c>
      <x:c r="I353" s="44" t="str">
        <x:f>IF(D353="","",I352+H353)</x:f>
      </x:c>
      <x:c r="J353" s="46" t="str">
        <x:f>IF(D353="","",MIN(1,I353/Configuracion!$B$11))</x:f>
      </x:c>
      <x:c r="K353" s="48" t="str">
        <x:f>IF(D353="","",MAX(0,(Configuracion!$B$11-I353)/G353))</x:f>
      </x:c>
      <x:c r="L353" s="73" t="str">
        <x:f>IF(D353="","",C353+K353*60)</x:f>
      </x:c>
      <x:c r="M353" t="str">
        <x:f>IF(D353="","",IF(J353&gt;=Configuracion!$B$13,"DESLIZAR",IF(J353&gt;=Configuracion!$B$12,"PREPARARSE","NO DESLIZAR")))</x:f>
      </x:c>
      <x:c r="N353" s="41" t="str">
        <x:f>IF(D353="","",D353-$D$8)</x:f>
      </x:c>
      <x:c r="O353" s="46" t="str">
        <x:f>IF(D353="","",MAX(0,MIN(1,N353/Configuracion!$B$10)))</x:f>
      </x:c>
    </x:row>
    <x:row r="354">
      <x:c r="A354" s="34"/>
      <x:c r="B354" s="36"/>
      <x:c r="C354" s="72"/>
      <x:c r="D354" s="71"/>
      <x:c r="E354" s="41" t="str">
        <x:f>IF(D354="","",D354+273.15)</x:f>
      </x:c>
      <x:c r="F354" s="44" t="str">
        <x:f>IF(OR(C354="",D354="",C353=""),"",(C354-C353)/60)</x:f>
      </x:c>
      <x:c r="G354" s="44" t="str">
        <x:f>IF(D354="","",EXP(-Configuracion!$B$4/Configuracion!$B$5*(1/AVERAGE(E353:E354)-1/(Configuracion!$B$3+273.15))))</x:f>
      </x:c>
      <x:c r="H354" s="44" t="str">
        <x:f>IF(D354="","",F354*G354)</x:f>
      </x:c>
      <x:c r="I354" s="44" t="str">
        <x:f>IF(D354="","",I353+H354)</x:f>
      </x:c>
      <x:c r="J354" s="46" t="str">
        <x:f>IF(D354="","",MIN(1,I354/Configuracion!$B$11))</x:f>
      </x:c>
      <x:c r="K354" s="48" t="str">
        <x:f>IF(D354="","",MAX(0,(Configuracion!$B$11-I354)/G354))</x:f>
      </x:c>
      <x:c r="L354" s="73" t="str">
        <x:f>IF(D354="","",C354+K354*60)</x:f>
      </x:c>
      <x:c r="M354" t="str">
        <x:f>IF(D354="","",IF(J354&gt;=Configuracion!$B$13,"DESLIZAR",IF(J354&gt;=Configuracion!$B$12,"PREPARARSE","NO DESLIZAR")))</x:f>
      </x:c>
      <x:c r="N354" s="41" t="str">
        <x:f>IF(D354="","",D354-$D$8)</x:f>
      </x:c>
      <x:c r="O354" s="46" t="str">
        <x:f>IF(D354="","",MAX(0,MIN(1,N354/Configuracion!$B$10)))</x:f>
      </x:c>
    </x:row>
    <x:row r="355">
      <x:c r="A355" s="34"/>
      <x:c r="B355" s="36"/>
      <x:c r="C355" s="72"/>
      <x:c r="D355" s="71"/>
      <x:c r="E355" s="41" t="str">
        <x:f>IF(D355="","",D355+273.15)</x:f>
      </x:c>
      <x:c r="F355" s="44" t="str">
        <x:f>IF(OR(C355="",D355="",C354=""),"",(C355-C354)/60)</x:f>
      </x:c>
      <x:c r="G355" s="44" t="str">
        <x:f>IF(D355="","",EXP(-Configuracion!$B$4/Configuracion!$B$5*(1/AVERAGE(E354:E355)-1/(Configuracion!$B$3+273.15))))</x:f>
      </x:c>
      <x:c r="H355" s="44" t="str">
        <x:f>IF(D355="","",F355*G355)</x:f>
      </x:c>
      <x:c r="I355" s="44" t="str">
        <x:f>IF(D355="","",I354+H355)</x:f>
      </x:c>
      <x:c r="J355" s="46" t="str">
        <x:f>IF(D355="","",MIN(1,I355/Configuracion!$B$11))</x:f>
      </x:c>
      <x:c r="K355" s="48" t="str">
        <x:f>IF(D355="","",MAX(0,(Configuracion!$B$11-I355)/G355))</x:f>
      </x:c>
      <x:c r="L355" s="73" t="str">
        <x:f>IF(D355="","",C355+K355*60)</x:f>
      </x:c>
      <x:c r="M355" t="str">
        <x:f>IF(D355="","",IF(J355&gt;=Configuracion!$B$13,"DESLIZAR",IF(J355&gt;=Configuracion!$B$12,"PREPARARSE","NO DESLIZAR")))</x:f>
      </x:c>
      <x:c r="N355" s="41" t="str">
        <x:f>IF(D355="","",D355-$D$8)</x:f>
      </x:c>
      <x:c r="O355" s="46" t="str">
        <x:f>IF(D355="","",MAX(0,MIN(1,N355/Configuracion!$B$10)))</x:f>
      </x:c>
    </x:row>
    <x:row r="356">
      <x:c r="A356" s="34"/>
      <x:c r="B356" s="36"/>
      <x:c r="C356" s="72"/>
      <x:c r="D356" s="71"/>
      <x:c r="E356" s="41" t="str">
        <x:f>IF(D356="","",D356+273.15)</x:f>
      </x:c>
      <x:c r="F356" s="44" t="str">
        <x:f>IF(OR(C356="",D356="",C355=""),"",(C356-C355)/60)</x:f>
      </x:c>
      <x:c r="G356" s="44" t="str">
        <x:f>IF(D356="","",EXP(-Configuracion!$B$4/Configuracion!$B$5*(1/AVERAGE(E355:E356)-1/(Configuracion!$B$3+273.15))))</x:f>
      </x:c>
      <x:c r="H356" s="44" t="str">
        <x:f>IF(D356="","",F356*G356)</x:f>
      </x:c>
      <x:c r="I356" s="44" t="str">
        <x:f>IF(D356="","",I355+H356)</x:f>
      </x:c>
      <x:c r="J356" s="46" t="str">
        <x:f>IF(D356="","",MIN(1,I356/Configuracion!$B$11))</x:f>
      </x:c>
      <x:c r="K356" s="48" t="str">
        <x:f>IF(D356="","",MAX(0,(Configuracion!$B$11-I356)/G356))</x:f>
      </x:c>
      <x:c r="L356" s="73" t="str">
        <x:f>IF(D356="","",C356+K356*60)</x:f>
      </x:c>
      <x:c r="M356" t="str">
        <x:f>IF(D356="","",IF(J356&gt;=Configuracion!$B$13,"DESLIZAR",IF(J356&gt;=Configuracion!$B$12,"PREPARARSE","NO DESLIZAR")))</x:f>
      </x:c>
      <x:c r="N356" s="41" t="str">
        <x:f>IF(D356="","",D356-$D$8)</x:f>
      </x:c>
      <x:c r="O356" s="46" t="str">
        <x:f>IF(D356="","",MAX(0,MIN(1,N356/Configuracion!$B$10)))</x:f>
      </x:c>
    </x:row>
    <x:row r="357">
      <x:c r="A357" s="34"/>
      <x:c r="B357" s="36"/>
      <x:c r="C357" s="72"/>
      <x:c r="D357" s="71"/>
      <x:c r="E357" s="41" t="str">
        <x:f>IF(D357="","",D357+273.15)</x:f>
      </x:c>
      <x:c r="F357" s="44" t="str">
        <x:f>IF(OR(C357="",D357="",C356=""),"",(C357-C356)/60)</x:f>
      </x:c>
      <x:c r="G357" s="44" t="str">
        <x:f>IF(D357="","",EXP(-Configuracion!$B$4/Configuracion!$B$5*(1/AVERAGE(E356:E357)-1/(Configuracion!$B$3+273.15))))</x:f>
      </x:c>
      <x:c r="H357" s="44" t="str">
        <x:f>IF(D357="","",F357*G357)</x:f>
      </x:c>
      <x:c r="I357" s="44" t="str">
        <x:f>IF(D357="","",I356+H357)</x:f>
      </x:c>
      <x:c r="J357" s="46" t="str">
        <x:f>IF(D357="","",MIN(1,I357/Configuracion!$B$11))</x:f>
      </x:c>
      <x:c r="K357" s="48" t="str">
        <x:f>IF(D357="","",MAX(0,(Configuracion!$B$11-I357)/G357))</x:f>
      </x:c>
      <x:c r="L357" s="73" t="str">
        <x:f>IF(D357="","",C357+K357*60)</x:f>
      </x:c>
      <x:c r="M357" t="str">
        <x:f>IF(D357="","",IF(J357&gt;=Configuracion!$B$13,"DESLIZAR",IF(J357&gt;=Configuracion!$B$12,"PREPARARSE","NO DESLIZAR")))</x:f>
      </x:c>
      <x:c r="N357" s="41" t="str">
        <x:f>IF(D357="","",D357-$D$8)</x:f>
      </x:c>
      <x:c r="O357" s="46" t="str">
        <x:f>IF(D357="","",MAX(0,MIN(1,N357/Configuracion!$B$10)))</x:f>
      </x:c>
    </x:row>
    <x:row r="358">
      <x:c r="A358" s="34"/>
      <x:c r="B358" s="36"/>
      <x:c r="C358" s="72"/>
      <x:c r="D358" s="71"/>
      <x:c r="E358" s="41" t="str">
        <x:f>IF(D358="","",D358+273.15)</x:f>
      </x:c>
      <x:c r="F358" s="44" t="str">
        <x:f>IF(OR(C358="",D358="",C357=""),"",(C358-C357)/60)</x:f>
      </x:c>
      <x:c r="G358" s="44" t="str">
        <x:f>IF(D358="","",EXP(-Configuracion!$B$4/Configuracion!$B$5*(1/AVERAGE(E357:E358)-1/(Configuracion!$B$3+273.15))))</x:f>
      </x:c>
      <x:c r="H358" s="44" t="str">
        <x:f>IF(D358="","",F358*G358)</x:f>
      </x:c>
      <x:c r="I358" s="44" t="str">
        <x:f>IF(D358="","",I357+H358)</x:f>
      </x:c>
      <x:c r="J358" s="46" t="str">
        <x:f>IF(D358="","",MIN(1,I358/Configuracion!$B$11))</x:f>
      </x:c>
      <x:c r="K358" s="48" t="str">
        <x:f>IF(D358="","",MAX(0,(Configuracion!$B$11-I358)/G358))</x:f>
      </x:c>
      <x:c r="L358" s="73" t="str">
        <x:f>IF(D358="","",C358+K358*60)</x:f>
      </x:c>
      <x:c r="M358" t="str">
        <x:f>IF(D358="","",IF(J358&gt;=Configuracion!$B$13,"DESLIZAR",IF(J358&gt;=Configuracion!$B$12,"PREPARARSE","NO DESLIZAR")))</x:f>
      </x:c>
      <x:c r="N358" s="41" t="str">
        <x:f>IF(D358="","",D358-$D$8)</x:f>
      </x:c>
      <x:c r="O358" s="46" t="str">
        <x:f>IF(D358="","",MAX(0,MIN(1,N358/Configuracion!$B$10)))</x:f>
      </x:c>
    </x:row>
    <x:row r="359">
      <x:c r="A359" s="34"/>
      <x:c r="B359" s="36"/>
      <x:c r="C359" s="72"/>
      <x:c r="D359" s="71"/>
      <x:c r="E359" s="41" t="str">
        <x:f>IF(D359="","",D359+273.15)</x:f>
      </x:c>
      <x:c r="F359" s="44" t="str">
        <x:f>IF(OR(C359="",D359="",C358=""),"",(C359-C358)/60)</x:f>
      </x:c>
      <x:c r="G359" s="44" t="str">
        <x:f>IF(D359="","",EXP(-Configuracion!$B$4/Configuracion!$B$5*(1/AVERAGE(E358:E359)-1/(Configuracion!$B$3+273.15))))</x:f>
      </x:c>
      <x:c r="H359" s="44" t="str">
        <x:f>IF(D359="","",F359*G359)</x:f>
      </x:c>
      <x:c r="I359" s="44" t="str">
        <x:f>IF(D359="","",I358+H359)</x:f>
      </x:c>
      <x:c r="J359" s="46" t="str">
        <x:f>IF(D359="","",MIN(1,I359/Configuracion!$B$11))</x:f>
      </x:c>
      <x:c r="K359" s="48" t="str">
        <x:f>IF(D359="","",MAX(0,(Configuracion!$B$11-I359)/G359))</x:f>
      </x:c>
      <x:c r="L359" s="73" t="str">
        <x:f>IF(D359="","",C359+K359*60)</x:f>
      </x:c>
      <x:c r="M359" t="str">
        <x:f>IF(D359="","",IF(J359&gt;=Configuracion!$B$13,"DESLIZAR",IF(J359&gt;=Configuracion!$B$12,"PREPARARSE","NO DESLIZAR")))</x:f>
      </x:c>
      <x:c r="N359" s="41" t="str">
        <x:f>IF(D359="","",D359-$D$8)</x:f>
      </x:c>
      <x:c r="O359" s="46" t="str">
        <x:f>IF(D359="","",MAX(0,MIN(1,N359/Configuracion!$B$10)))</x:f>
      </x:c>
    </x:row>
    <x:row r="360">
      <x:c r="A360" s="34"/>
      <x:c r="B360" s="36"/>
      <x:c r="C360" s="72"/>
      <x:c r="D360" s="71"/>
      <x:c r="E360" s="41" t="str">
        <x:f>IF(D360="","",D360+273.15)</x:f>
      </x:c>
      <x:c r="F360" s="44" t="str">
        <x:f>IF(OR(C360="",D360="",C359=""),"",(C360-C359)/60)</x:f>
      </x:c>
      <x:c r="G360" s="44" t="str">
        <x:f>IF(D360="","",EXP(-Configuracion!$B$4/Configuracion!$B$5*(1/AVERAGE(E359:E360)-1/(Configuracion!$B$3+273.15))))</x:f>
      </x:c>
      <x:c r="H360" s="44" t="str">
        <x:f>IF(D360="","",F360*G360)</x:f>
      </x:c>
      <x:c r="I360" s="44" t="str">
        <x:f>IF(D360="","",I359+H360)</x:f>
      </x:c>
      <x:c r="J360" s="46" t="str">
        <x:f>IF(D360="","",MIN(1,I360/Configuracion!$B$11))</x:f>
      </x:c>
      <x:c r="K360" s="48" t="str">
        <x:f>IF(D360="","",MAX(0,(Configuracion!$B$11-I360)/G360))</x:f>
      </x:c>
      <x:c r="L360" s="73" t="str">
        <x:f>IF(D360="","",C360+K360*60)</x:f>
      </x:c>
      <x:c r="M360" t="str">
        <x:f>IF(D360="","",IF(J360&gt;=Configuracion!$B$13,"DESLIZAR",IF(J360&gt;=Configuracion!$B$12,"PREPARARSE","NO DESLIZAR")))</x:f>
      </x:c>
      <x:c r="N360" s="41" t="str">
        <x:f>IF(D360="","",D360-$D$8)</x:f>
      </x:c>
      <x:c r="O360" s="46" t="str">
        <x:f>IF(D360="","",MAX(0,MIN(1,N360/Configuracion!$B$10)))</x:f>
      </x:c>
    </x:row>
    <x:row r="361">
      <x:c r="A361" s="34"/>
      <x:c r="B361" s="36"/>
      <x:c r="C361" s="72"/>
      <x:c r="D361" s="71"/>
      <x:c r="E361" s="41" t="str">
        <x:f>IF(D361="","",D361+273.15)</x:f>
      </x:c>
      <x:c r="F361" s="44" t="str">
        <x:f>IF(OR(C361="",D361="",C360=""),"",(C361-C360)/60)</x:f>
      </x:c>
      <x:c r="G361" s="44" t="str">
        <x:f>IF(D361="","",EXP(-Configuracion!$B$4/Configuracion!$B$5*(1/AVERAGE(E360:E361)-1/(Configuracion!$B$3+273.15))))</x:f>
      </x:c>
      <x:c r="H361" s="44" t="str">
        <x:f>IF(D361="","",F361*G361)</x:f>
      </x:c>
      <x:c r="I361" s="44" t="str">
        <x:f>IF(D361="","",I360+H361)</x:f>
      </x:c>
      <x:c r="J361" s="46" t="str">
        <x:f>IF(D361="","",MIN(1,I361/Configuracion!$B$11))</x:f>
      </x:c>
      <x:c r="K361" s="48" t="str">
        <x:f>IF(D361="","",MAX(0,(Configuracion!$B$11-I361)/G361))</x:f>
      </x:c>
      <x:c r="L361" s="73" t="str">
        <x:f>IF(D361="","",C361+K361*60)</x:f>
      </x:c>
      <x:c r="M361" t="str">
        <x:f>IF(D361="","",IF(J361&gt;=Configuracion!$B$13,"DESLIZAR",IF(J361&gt;=Configuracion!$B$12,"PREPARARSE","NO DESLIZAR")))</x:f>
      </x:c>
      <x:c r="N361" s="41" t="str">
        <x:f>IF(D361="","",D361-$D$8)</x:f>
      </x:c>
      <x:c r="O361" s="46" t="str">
        <x:f>IF(D361="","",MAX(0,MIN(1,N361/Configuracion!$B$10)))</x:f>
      </x:c>
    </x:row>
    <x:row r="362">
      <x:c r="A362" s="34"/>
      <x:c r="B362" s="36"/>
      <x:c r="C362" s="72"/>
      <x:c r="D362" s="71"/>
      <x:c r="E362" s="41" t="str">
        <x:f>IF(D362="","",D362+273.15)</x:f>
      </x:c>
      <x:c r="F362" s="44" t="str">
        <x:f>IF(OR(C362="",D362="",C361=""),"",(C362-C361)/60)</x:f>
      </x:c>
      <x:c r="G362" s="44" t="str">
        <x:f>IF(D362="","",EXP(-Configuracion!$B$4/Configuracion!$B$5*(1/AVERAGE(E361:E362)-1/(Configuracion!$B$3+273.15))))</x:f>
      </x:c>
      <x:c r="H362" s="44" t="str">
        <x:f>IF(D362="","",F362*G362)</x:f>
      </x:c>
      <x:c r="I362" s="44" t="str">
        <x:f>IF(D362="","",I361+H362)</x:f>
      </x:c>
      <x:c r="J362" s="46" t="str">
        <x:f>IF(D362="","",MIN(1,I362/Configuracion!$B$11))</x:f>
      </x:c>
      <x:c r="K362" s="48" t="str">
        <x:f>IF(D362="","",MAX(0,(Configuracion!$B$11-I362)/G362))</x:f>
      </x:c>
      <x:c r="L362" s="73" t="str">
        <x:f>IF(D362="","",C362+K362*60)</x:f>
      </x:c>
      <x:c r="M362" t="str">
        <x:f>IF(D362="","",IF(J362&gt;=Configuracion!$B$13,"DESLIZAR",IF(J362&gt;=Configuracion!$B$12,"PREPARARSE","NO DESLIZAR")))</x:f>
      </x:c>
      <x:c r="N362" s="41" t="str">
        <x:f>IF(D362="","",D362-$D$8)</x:f>
      </x:c>
      <x:c r="O362" s="46" t="str">
        <x:f>IF(D362="","",MAX(0,MIN(1,N362/Configuracion!$B$10)))</x:f>
      </x:c>
    </x:row>
    <x:row r="363">
      <x:c r="A363" s="34"/>
      <x:c r="B363" s="36"/>
      <x:c r="C363" s="72"/>
      <x:c r="D363" s="71"/>
      <x:c r="E363" s="41" t="str">
        <x:f>IF(D363="","",D363+273.15)</x:f>
      </x:c>
      <x:c r="F363" s="44" t="str">
        <x:f>IF(OR(C363="",D363="",C362=""),"",(C363-C362)/60)</x:f>
      </x:c>
      <x:c r="G363" s="44" t="str">
        <x:f>IF(D363="","",EXP(-Configuracion!$B$4/Configuracion!$B$5*(1/AVERAGE(E362:E363)-1/(Configuracion!$B$3+273.15))))</x:f>
      </x:c>
      <x:c r="H363" s="44" t="str">
        <x:f>IF(D363="","",F363*G363)</x:f>
      </x:c>
      <x:c r="I363" s="44" t="str">
        <x:f>IF(D363="","",I362+H363)</x:f>
      </x:c>
      <x:c r="J363" s="46" t="str">
        <x:f>IF(D363="","",MIN(1,I363/Configuracion!$B$11))</x:f>
      </x:c>
      <x:c r="K363" s="48" t="str">
        <x:f>IF(D363="","",MAX(0,(Configuracion!$B$11-I363)/G363))</x:f>
      </x:c>
      <x:c r="L363" s="73" t="str">
        <x:f>IF(D363="","",C363+K363*60)</x:f>
      </x:c>
      <x:c r="M363" t="str">
        <x:f>IF(D363="","",IF(J363&gt;=Configuracion!$B$13,"DESLIZAR",IF(J363&gt;=Configuracion!$B$12,"PREPARARSE","NO DESLIZAR")))</x:f>
      </x:c>
      <x:c r="N363" s="41" t="str">
        <x:f>IF(D363="","",D363-$D$8)</x:f>
      </x:c>
      <x:c r="O363" s="46" t="str">
        <x:f>IF(D363="","",MAX(0,MIN(1,N363/Configuracion!$B$10)))</x:f>
      </x:c>
    </x:row>
    <x:row r="364">
      <x:c r="A364" s="34"/>
      <x:c r="B364" s="36"/>
      <x:c r="C364" s="72"/>
      <x:c r="D364" s="71"/>
      <x:c r="E364" s="41" t="str">
        <x:f>IF(D364="","",D364+273.15)</x:f>
      </x:c>
      <x:c r="F364" s="44" t="str">
        <x:f>IF(OR(C364="",D364="",C363=""),"",(C364-C363)/60)</x:f>
      </x:c>
      <x:c r="G364" s="44" t="str">
        <x:f>IF(D364="","",EXP(-Configuracion!$B$4/Configuracion!$B$5*(1/AVERAGE(E363:E364)-1/(Configuracion!$B$3+273.15))))</x:f>
      </x:c>
      <x:c r="H364" s="44" t="str">
        <x:f>IF(D364="","",F364*G364)</x:f>
      </x:c>
      <x:c r="I364" s="44" t="str">
        <x:f>IF(D364="","",I363+H364)</x:f>
      </x:c>
      <x:c r="J364" s="46" t="str">
        <x:f>IF(D364="","",MIN(1,I364/Configuracion!$B$11))</x:f>
      </x:c>
      <x:c r="K364" s="48" t="str">
        <x:f>IF(D364="","",MAX(0,(Configuracion!$B$11-I364)/G364))</x:f>
      </x:c>
      <x:c r="L364" s="73" t="str">
        <x:f>IF(D364="","",C364+K364*60)</x:f>
      </x:c>
      <x:c r="M364" t="str">
        <x:f>IF(D364="","",IF(J364&gt;=Configuracion!$B$13,"DESLIZAR",IF(J364&gt;=Configuracion!$B$12,"PREPARARSE","NO DESLIZAR")))</x:f>
      </x:c>
      <x:c r="N364" s="41" t="str">
        <x:f>IF(D364="","",D364-$D$8)</x:f>
      </x:c>
      <x:c r="O364" s="46" t="str">
        <x:f>IF(D364="","",MAX(0,MIN(1,N364/Configuracion!$B$10)))</x:f>
      </x:c>
    </x:row>
    <x:row r="365">
      <x:c r="A365" s="34"/>
      <x:c r="B365" s="36"/>
      <x:c r="C365" s="72"/>
      <x:c r="D365" s="71"/>
      <x:c r="E365" s="41" t="str">
        <x:f>IF(D365="","",D365+273.15)</x:f>
      </x:c>
      <x:c r="F365" s="44" t="str">
        <x:f>IF(OR(C365="",D365="",C364=""),"",(C365-C364)/60)</x:f>
      </x:c>
      <x:c r="G365" s="44" t="str">
        <x:f>IF(D365="","",EXP(-Configuracion!$B$4/Configuracion!$B$5*(1/AVERAGE(E364:E365)-1/(Configuracion!$B$3+273.15))))</x:f>
      </x:c>
      <x:c r="H365" s="44" t="str">
        <x:f>IF(D365="","",F365*G365)</x:f>
      </x:c>
      <x:c r="I365" s="44" t="str">
        <x:f>IF(D365="","",I364+H365)</x:f>
      </x:c>
      <x:c r="J365" s="46" t="str">
        <x:f>IF(D365="","",MIN(1,I365/Configuracion!$B$11))</x:f>
      </x:c>
      <x:c r="K365" s="48" t="str">
        <x:f>IF(D365="","",MAX(0,(Configuracion!$B$11-I365)/G365))</x:f>
      </x:c>
      <x:c r="L365" s="73" t="str">
        <x:f>IF(D365="","",C365+K365*60)</x:f>
      </x:c>
      <x:c r="M365" t="str">
        <x:f>IF(D365="","",IF(J365&gt;=Configuracion!$B$13,"DESLIZAR",IF(J365&gt;=Configuracion!$B$12,"PREPARARSE","NO DESLIZAR")))</x:f>
      </x:c>
      <x:c r="N365" s="41" t="str">
        <x:f>IF(D365="","",D365-$D$8)</x:f>
      </x:c>
      <x:c r="O365" s="46" t="str">
        <x:f>IF(D365="","",MAX(0,MIN(1,N365/Configuracion!$B$10)))</x:f>
      </x:c>
    </x:row>
    <x:row r="366">
      <x:c r="A366" s="34"/>
      <x:c r="B366" s="36"/>
      <x:c r="C366" s="72"/>
      <x:c r="D366" s="71"/>
      <x:c r="E366" s="41" t="str">
        <x:f>IF(D366="","",D366+273.15)</x:f>
      </x:c>
      <x:c r="F366" s="44" t="str">
        <x:f>IF(OR(C366="",D366="",C365=""),"",(C366-C365)/60)</x:f>
      </x:c>
      <x:c r="G366" s="44" t="str">
        <x:f>IF(D366="","",EXP(-Configuracion!$B$4/Configuracion!$B$5*(1/AVERAGE(E365:E366)-1/(Configuracion!$B$3+273.15))))</x:f>
      </x:c>
      <x:c r="H366" s="44" t="str">
        <x:f>IF(D366="","",F366*G366)</x:f>
      </x:c>
      <x:c r="I366" s="44" t="str">
        <x:f>IF(D366="","",I365+H366)</x:f>
      </x:c>
      <x:c r="J366" s="46" t="str">
        <x:f>IF(D366="","",MIN(1,I366/Configuracion!$B$11))</x:f>
      </x:c>
      <x:c r="K366" s="48" t="str">
        <x:f>IF(D366="","",MAX(0,(Configuracion!$B$11-I366)/G366))</x:f>
      </x:c>
      <x:c r="L366" s="73" t="str">
        <x:f>IF(D366="","",C366+K366*60)</x:f>
      </x:c>
      <x:c r="M366" t="str">
        <x:f>IF(D366="","",IF(J366&gt;=Configuracion!$B$13,"DESLIZAR",IF(J366&gt;=Configuracion!$B$12,"PREPARARSE","NO DESLIZAR")))</x:f>
      </x:c>
      <x:c r="N366" s="41" t="str">
        <x:f>IF(D366="","",D366-$D$8)</x:f>
      </x:c>
      <x:c r="O366" s="46" t="str">
        <x:f>IF(D366="","",MAX(0,MIN(1,N366/Configuracion!$B$10)))</x:f>
      </x:c>
    </x:row>
    <x:row r="367">
      <x:c r="A367" s="34"/>
      <x:c r="B367" s="36"/>
      <x:c r="C367" s="72"/>
      <x:c r="D367" s="71"/>
      <x:c r="E367" s="41" t="str">
        <x:f>IF(D367="","",D367+273.15)</x:f>
      </x:c>
      <x:c r="F367" s="44" t="str">
        <x:f>IF(OR(C367="",D367="",C366=""),"",(C367-C366)/60)</x:f>
      </x:c>
      <x:c r="G367" s="44" t="str">
        <x:f>IF(D367="","",EXP(-Configuracion!$B$4/Configuracion!$B$5*(1/AVERAGE(E366:E367)-1/(Configuracion!$B$3+273.15))))</x:f>
      </x:c>
      <x:c r="H367" s="44" t="str">
        <x:f>IF(D367="","",F367*G367)</x:f>
      </x:c>
      <x:c r="I367" s="44" t="str">
        <x:f>IF(D367="","",I366+H367)</x:f>
      </x:c>
      <x:c r="J367" s="46" t="str">
        <x:f>IF(D367="","",MIN(1,I367/Configuracion!$B$11))</x:f>
      </x:c>
      <x:c r="K367" s="48" t="str">
        <x:f>IF(D367="","",MAX(0,(Configuracion!$B$11-I367)/G367))</x:f>
      </x:c>
      <x:c r="L367" s="73" t="str">
        <x:f>IF(D367="","",C367+K367*60)</x:f>
      </x:c>
      <x:c r="M367" t="str">
        <x:f>IF(D367="","",IF(J367&gt;=Configuracion!$B$13,"DESLIZAR",IF(J367&gt;=Configuracion!$B$12,"PREPARARSE","NO DESLIZAR")))</x:f>
      </x:c>
      <x:c r="N367" s="41" t="str">
        <x:f>IF(D367="","",D367-$D$8)</x:f>
      </x:c>
      <x:c r="O367" s="46" t="str">
        <x:f>IF(D367="","",MAX(0,MIN(1,N367/Configuracion!$B$10)))</x:f>
      </x:c>
    </x:row>
    <x:row r="368">
      <x:c r="A368" s="34"/>
      <x:c r="B368" s="36"/>
      <x:c r="C368" s="72"/>
      <x:c r="D368" s="71"/>
      <x:c r="E368" s="41" t="str">
        <x:f>IF(D368="","",D368+273.15)</x:f>
      </x:c>
      <x:c r="F368" s="44" t="str">
        <x:f>IF(OR(C368="",D368="",C367=""),"",(C368-C367)/60)</x:f>
      </x:c>
      <x:c r="G368" s="44" t="str">
        <x:f>IF(D368="","",EXP(-Configuracion!$B$4/Configuracion!$B$5*(1/AVERAGE(E367:E368)-1/(Configuracion!$B$3+273.15))))</x:f>
      </x:c>
      <x:c r="H368" s="44" t="str">
        <x:f>IF(D368="","",F368*G368)</x:f>
      </x:c>
      <x:c r="I368" s="44" t="str">
        <x:f>IF(D368="","",I367+H368)</x:f>
      </x:c>
      <x:c r="J368" s="46" t="str">
        <x:f>IF(D368="","",MIN(1,I368/Configuracion!$B$11))</x:f>
      </x:c>
      <x:c r="K368" s="48" t="str">
        <x:f>IF(D368="","",MAX(0,(Configuracion!$B$11-I368)/G368))</x:f>
      </x:c>
      <x:c r="L368" s="73" t="str">
        <x:f>IF(D368="","",C368+K368*60)</x:f>
      </x:c>
      <x:c r="M368" t="str">
        <x:f>IF(D368="","",IF(J368&gt;=Configuracion!$B$13,"DESLIZAR",IF(J368&gt;=Configuracion!$B$12,"PREPARARSE","NO DESLIZAR")))</x:f>
      </x:c>
      <x:c r="N368" s="41" t="str">
        <x:f>IF(D368="","",D368-$D$8)</x:f>
      </x:c>
      <x:c r="O368" s="46" t="str">
        <x:f>IF(D368="","",MAX(0,MIN(1,N368/Configuracion!$B$10)))</x:f>
      </x:c>
    </x:row>
    <x:row r="369">
      <x:c r="A369" s="34"/>
      <x:c r="B369" s="36"/>
      <x:c r="C369" s="72"/>
      <x:c r="D369" s="71"/>
      <x:c r="E369" s="41" t="str">
        <x:f>IF(D369="","",D369+273.15)</x:f>
      </x:c>
      <x:c r="F369" s="44" t="str">
        <x:f>IF(OR(C369="",D369="",C368=""),"",(C369-C368)/60)</x:f>
      </x:c>
      <x:c r="G369" s="44" t="str">
        <x:f>IF(D369="","",EXP(-Configuracion!$B$4/Configuracion!$B$5*(1/AVERAGE(E368:E369)-1/(Configuracion!$B$3+273.15))))</x:f>
      </x:c>
      <x:c r="H369" s="44" t="str">
        <x:f>IF(D369="","",F369*G369)</x:f>
      </x:c>
      <x:c r="I369" s="44" t="str">
        <x:f>IF(D369="","",I368+H369)</x:f>
      </x:c>
      <x:c r="J369" s="46" t="str">
        <x:f>IF(D369="","",MIN(1,I369/Configuracion!$B$11))</x:f>
      </x:c>
      <x:c r="K369" s="48" t="str">
        <x:f>IF(D369="","",MAX(0,(Configuracion!$B$11-I369)/G369))</x:f>
      </x:c>
      <x:c r="L369" s="73" t="str">
        <x:f>IF(D369="","",C369+K369*60)</x:f>
      </x:c>
      <x:c r="M369" t="str">
        <x:f>IF(D369="","",IF(J369&gt;=Configuracion!$B$13,"DESLIZAR",IF(J369&gt;=Configuracion!$B$12,"PREPARARSE","NO DESLIZAR")))</x:f>
      </x:c>
      <x:c r="N369" s="41" t="str">
        <x:f>IF(D369="","",D369-$D$8)</x:f>
      </x:c>
      <x:c r="O369" s="46" t="str">
        <x:f>IF(D369="","",MAX(0,MIN(1,N369/Configuracion!$B$10)))</x:f>
      </x:c>
    </x:row>
    <x:row r="370">
      <x:c r="A370" s="34"/>
      <x:c r="B370" s="36"/>
      <x:c r="C370" s="72"/>
      <x:c r="D370" s="71"/>
      <x:c r="E370" s="41" t="str">
        <x:f>IF(D370="","",D370+273.15)</x:f>
      </x:c>
      <x:c r="F370" s="44" t="str">
        <x:f>IF(OR(C370="",D370="",C369=""),"",(C370-C369)/60)</x:f>
      </x:c>
      <x:c r="G370" s="44" t="str">
        <x:f>IF(D370="","",EXP(-Configuracion!$B$4/Configuracion!$B$5*(1/AVERAGE(E369:E370)-1/(Configuracion!$B$3+273.15))))</x:f>
      </x:c>
      <x:c r="H370" s="44" t="str">
        <x:f>IF(D370="","",F370*G370)</x:f>
      </x:c>
      <x:c r="I370" s="44" t="str">
        <x:f>IF(D370="","",I369+H370)</x:f>
      </x:c>
      <x:c r="J370" s="46" t="str">
        <x:f>IF(D370="","",MIN(1,I370/Configuracion!$B$11))</x:f>
      </x:c>
      <x:c r="K370" s="48" t="str">
        <x:f>IF(D370="","",MAX(0,(Configuracion!$B$11-I370)/G370))</x:f>
      </x:c>
      <x:c r="L370" s="73" t="str">
        <x:f>IF(D370="","",C370+K370*60)</x:f>
      </x:c>
      <x:c r="M370" t="str">
        <x:f>IF(D370="","",IF(J370&gt;=Configuracion!$B$13,"DESLIZAR",IF(J370&gt;=Configuracion!$B$12,"PREPARARSE","NO DESLIZAR")))</x:f>
      </x:c>
      <x:c r="N370" s="41" t="str">
        <x:f>IF(D370="","",D370-$D$8)</x:f>
      </x:c>
      <x:c r="O370" s="46" t="str">
        <x:f>IF(D370="","",MAX(0,MIN(1,N370/Configuracion!$B$10)))</x:f>
      </x:c>
    </x:row>
    <x:row r="371">
      <x:c r="A371" s="34"/>
      <x:c r="B371" s="36"/>
      <x:c r="C371" s="72"/>
      <x:c r="D371" s="71"/>
      <x:c r="E371" s="41" t="str">
        <x:f>IF(D371="","",D371+273.15)</x:f>
      </x:c>
      <x:c r="F371" s="44" t="str">
        <x:f>IF(OR(C371="",D371="",C370=""),"",(C371-C370)/60)</x:f>
      </x:c>
      <x:c r="G371" s="44" t="str">
        <x:f>IF(D371="","",EXP(-Configuracion!$B$4/Configuracion!$B$5*(1/AVERAGE(E370:E371)-1/(Configuracion!$B$3+273.15))))</x:f>
      </x:c>
      <x:c r="H371" s="44" t="str">
        <x:f>IF(D371="","",F371*G371)</x:f>
      </x:c>
      <x:c r="I371" s="44" t="str">
        <x:f>IF(D371="","",I370+H371)</x:f>
      </x:c>
      <x:c r="J371" s="46" t="str">
        <x:f>IF(D371="","",MIN(1,I371/Configuracion!$B$11))</x:f>
      </x:c>
      <x:c r="K371" s="48" t="str">
        <x:f>IF(D371="","",MAX(0,(Configuracion!$B$11-I371)/G371))</x:f>
      </x:c>
      <x:c r="L371" s="73" t="str">
        <x:f>IF(D371="","",C371+K371*60)</x:f>
      </x:c>
      <x:c r="M371" t="str">
        <x:f>IF(D371="","",IF(J371&gt;=Configuracion!$B$13,"DESLIZAR",IF(J371&gt;=Configuracion!$B$12,"PREPARARSE","NO DESLIZAR")))</x:f>
      </x:c>
      <x:c r="N371" s="41" t="str">
        <x:f>IF(D371="","",D371-$D$8)</x:f>
      </x:c>
      <x:c r="O371" s="46" t="str">
        <x:f>IF(D371="","",MAX(0,MIN(1,N371/Configuracion!$B$10)))</x:f>
      </x:c>
    </x:row>
    <x:row r="372">
      <x:c r="A372" s="34"/>
      <x:c r="B372" s="36"/>
      <x:c r="C372" s="72"/>
      <x:c r="D372" s="71"/>
      <x:c r="E372" s="41" t="str">
        <x:f>IF(D372="","",D372+273.15)</x:f>
      </x:c>
      <x:c r="F372" s="44" t="str">
        <x:f>IF(OR(C372="",D372="",C371=""),"",(C372-C371)/60)</x:f>
      </x:c>
      <x:c r="G372" s="44" t="str">
        <x:f>IF(D372="","",EXP(-Configuracion!$B$4/Configuracion!$B$5*(1/AVERAGE(E371:E372)-1/(Configuracion!$B$3+273.15))))</x:f>
      </x:c>
      <x:c r="H372" s="44" t="str">
        <x:f>IF(D372="","",F372*G372)</x:f>
      </x:c>
      <x:c r="I372" s="44" t="str">
        <x:f>IF(D372="","",I371+H372)</x:f>
      </x:c>
      <x:c r="J372" s="46" t="str">
        <x:f>IF(D372="","",MIN(1,I372/Configuracion!$B$11))</x:f>
      </x:c>
      <x:c r="K372" s="48" t="str">
        <x:f>IF(D372="","",MAX(0,(Configuracion!$B$11-I372)/G372))</x:f>
      </x:c>
      <x:c r="L372" s="73" t="str">
        <x:f>IF(D372="","",C372+K372*60)</x:f>
      </x:c>
      <x:c r="M372" t="str">
        <x:f>IF(D372="","",IF(J372&gt;=Configuracion!$B$13,"DESLIZAR",IF(J372&gt;=Configuracion!$B$12,"PREPARARSE","NO DESLIZAR")))</x:f>
      </x:c>
      <x:c r="N372" s="41" t="str">
        <x:f>IF(D372="","",D372-$D$8)</x:f>
      </x:c>
      <x:c r="O372" s="46" t="str">
        <x:f>IF(D372="","",MAX(0,MIN(1,N372/Configuracion!$B$10)))</x:f>
      </x:c>
    </x:row>
    <x:row r="373">
      <x:c r="A373" s="34"/>
      <x:c r="B373" s="36"/>
      <x:c r="C373" s="72"/>
      <x:c r="D373" s="71"/>
      <x:c r="E373" s="41" t="str">
        <x:f>IF(D373="","",D373+273.15)</x:f>
      </x:c>
      <x:c r="F373" s="44" t="str">
        <x:f>IF(OR(C373="",D373="",C372=""),"",(C373-C372)/60)</x:f>
      </x:c>
      <x:c r="G373" s="44" t="str">
        <x:f>IF(D373="","",EXP(-Configuracion!$B$4/Configuracion!$B$5*(1/AVERAGE(E372:E373)-1/(Configuracion!$B$3+273.15))))</x:f>
      </x:c>
      <x:c r="H373" s="44" t="str">
        <x:f>IF(D373="","",F373*G373)</x:f>
      </x:c>
      <x:c r="I373" s="44" t="str">
        <x:f>IF(D373="","",I372+H373)</x:f>
      </x:c>
      <x:c r="J373" s="46" t="str">
        <x:f>IF(D373="","",MIN(1,I373/Configuracion!$B$11))</x:f>
      </x:c>
      <x:c r="K373" s="48" t="str">
        <x:f>IF(D373="","",MAX(0,(Configuracion!$B$11-I373)/G373))</x:f>
      </x:c>
      <x:c r="L373" s="73" t="str">
        <x:f>IF(D373="","",C373+K373*60)</x:f>
      </x:c>
      <x:c r="M373" t="str">
        <x:f>IF(D373="","",IF(J373&gt;=Configuracion!$B$13,"DESLIZAR",IF(J373&gt;=Configuracion!$B$12,"PREPARARSE","NO DESLIZAR")))</x:f>
      </x:c>
      <x:c r="N373" s="41" t="str">
        <x:f>IF(D373="","",D373-$D$8)</x:f>
      </x:c>
      <x:c r="O373" s="46" t="str">
        <x:f>IF(D373="","",MAX(0,MIN(1,N373/Configuracion!$B$10)))</x:f>
      </x:c>
    </x:row>
    <x:row r="374">
      <x:c r="A374" s="34"/>
      <x:c r="B374" s="36"/>
      <x:c r="C374" s="72"/>
      <x:c r="D374" s="71"/>
      <x:c r="E374" s="41" t="str">
        <x:f>IF(D374="","",D374+273.15)</x:f>
      </x:c>
      <x:c r="F374" s="44" t="str">
        <x:f>IF(OR(C374="",D374="",C373=""),"",(C374-C373)/60)</x:f>
      </x:c>
      <x:c r="G374" s="44" t="str">
        <x:f>IF(D374="","",EXP(-Configuracion!$B$4/Configuracion!$B$5*(1/AVERAGE(E373:E374)-1/(Configuracion!$B$3+273.15))))</x:f>
      </x:c>
      <x:c r="H374" s="44" t="str">
        <x:f>IF(D374="","",F374*G374)</x:f>
      </x:c>
      <x:c r="I374" s="44" t="str">
        <x:f>IF(D374="","",I373+H374)</x:f>
      </x:c>
      <x:c r="J374" s="46" t="str">
        <x:f>IF(D374="","",MIN(1,I374/Configuracion!$B$11))</x:f>
      </x:c>
      <x:c r="K374" s="48" t="str">
        <x:f>IF(D374="","",MAX(0,(Configuracion!$B$11-I374)/G374))</x:f>
      </x:c>
      <x:c r="L374" s="73" t="str">
        <x:f>IF(D374="","",C374+K374*60)</x:f>
      </x:c>
      <x:c r="M374" t="str">
        <x:f>IF(D374="","",IF(J374&gt;=Configuracion!$B$13,"DESLIZAR",IF(J374&gt;=Configuracion!$B$12,"PREPARARSE","NO DESLIZAR")))</x:f>
      </x:c>
      <x:c r="N374" s="41" t="str">
        <x:f>IF(D374="","",D374-$D$8)</x:f>
      </x:c>
      <x:c r="O374" s="46" t="str">
        <x:f>IF(D374="","",MAX(0,MIN(1,N374/Configuracion!$B$10)))</x:f>
      </x:c>
    </x:row>
    <x:row r="375">
      <x:c r="A375" s="34"/>
      <x:c r="B375" s="36"/>
      <x:c r="C375" s="72"/>
      <x:c r="D375" s="71"/>
      <x:c r="E375" s="41" t="str">
        <x:f>IF(D375="","",D375+273.15)</x:f>
      </x:c>
      <x:c r="F375" s="44" t="str">
        <x:f>IF(OR(C375="",D375="",C374=""),"",(C375-C374)/60)</x:f>
      </x:c>
      <x:c r="G375" s="44" t="str">
        <x:f>IF(D375="","",EXP(-Configuracion!$B$4/Configuracion!$B$5*(1/AVERAGE(E374:E375)-1/(Configuracion!$B$3+273.15))))</x:f>
      </x:c>
      <x:c r="H375" s="44" t="str">
        <x:f>IF(D375="","",F375*G375)</x:f>
      </x:c>
      <x:c r="I375" s="44" t="str">
        <x:f>IF(D375="","",I374+H375)</x:f>
      </x:c>
      <x:c r="J375" s="46" t="str">
        <x:f>IF(D375="","",MIN(1,I375/Configuracion!$B$11))</x:f>
      </x:c>
      <x:c r="K375" s="48" t="str">
        <x:f>IF(D375="","",MAX(0,(Configuracion!$B$11-I375)/G375))</x:f>
      </x:c>
      <x:c r="L375" s="73" t="str">
        <x:f>IF(D375="","",C375+K375*60)</x:f>
      </x:c>
      <x:c r="M375" t="str">
        <x:f>IF(D375="","",IF(J375&gt;=Configuracion!$B$13,"DESLIZAR",IF(J375&gt;=Configuracion!$B$12,"PREPARARSE","NO DESLIZAR")))</x:f>
      </x:c>
      <x:c r="N375" s="41" t="str">
        <x:f>IF(D375="","",D375-$D$8)</x:f>
      </x:c>
      <x:c r="O375" s="46" t="str">
        <x:f>IF(D375="","",MAX(0,MIN(1,N375/Configuracion!$B$10)))</x:f>
      </x:c>
    </x:row>
    <x:row r="376">
      <x:c r="A376" s="34"/>
      <x:c r="B376" s="36"/>
      <x:c r="C376" s="72"/>
      <x:c r="D376" s="71"/>
      <x:c r="E376" s="41" t="str">
        <x:f>IF(D376="","",D376+273.15)</x:f>
      </x:c>
      <x:c r="F376" s="44" t="str">
        <x:f>IF(OR(C376="",D376="",C375=""),"",(C376-C375)/60)</x:f>
      </x:c>
      <x:c r="G376" s="44" t="str">
        <x:f>IF(D376="","",EXP(-Configuracion!$B$4/Configuracion!$B$5*(1/AVERAGE(E375:E376)-1/(Configuracion!$B$3+273.15))))</x:f>
      </x:c>
      <x:c r="H376" s="44" t="str">
        <x:f>IF(D376="","",F376*G376)</x:f>
      </x:c>
      <x:c r="I376" s="44" t="str">
        <x:f>IF(D376="","",I375+H376)</x:f>
      </x:c>
      <x:c r="J376" s="46" t="str">
        <x:f>IF(D376="","",MIN(1,I376/Configuracion!$B$11))</x:f>
      </x:c>
      <x:c r="K376" s="48" t="str">
        <x:f>IF(D376="","",MAX(0,(Configuracion!$B$11-I376)/G376))</x:f>
      </x:c>
      <x:c r="L376" s="73" t="str">
        <x:f>IF(D376="","",C376+K376*60)</x:f>
      </x:c>
      <x:c r="M376" t="str">
        <x:f>IF(D376="","",IF(J376&gt;=Configuracion!$B$13,"DESLIZAR",IF(J376&gt;=Configuracion!$B$12,"PREPARARSE","NO DESLIZAR")))</x:f>
      </x:c>
      <x:c r="N376" s="41" t="str">
        <x:f>IF(D376="","",D376-$D$8)</x:f>
      </x:c>
      <x:c r="O376" s="46" t="str">
        <x:f>IF(D376="","",MAX(0,MIN(1,N376/Configuracion!$B$10)))</x:f>
      </x:c>
    </x:row>
    <x:row r="377">
      <x:c r="A377" s="34"/>
      <x:c r="B377" s="36"/>
      <x:c r="C377" s="72"/>
      <x:c r="D377" s="71"/>
      <x:c r="E377" s="41" t="str">
        <x:f>IF(D377="","",D377+273.15)</x:f>
      </x:c>
      <x:c r="F377" s="44" t="str">
        <x:f>IF(OR(C377="",D377="",C376=""),"",(C377-C376)/60)</x:f>
      </x:c>
      <x:c r="G377" s="44" t="str">
        <x:f>IF(D377="","",EXP(-Configuracion!$B$4/Configuracion!$B$5*(1/AVERAGE(E376:E377)-1/(Configuracion!$B$3+273.15))))</x:f>
      </x:c>
      <x:c r="H377" s="44" t="str">
        <x:f>IF(D377="","",F377*G377)</x:f>
      </x:c>
      <x:c r="I377" s="44" t="str">
        <x:f>IF(D377="","",I376+H377)</x:f>
      </x:c>
      <x:c r="J377" s="46" t="str">
        <x:f>IF(D377="","",MIN(1,I377/Configuracion!$B$11))</x:f>
      </x:c>
      <x:c r="K377" s="48" t="str">
        <x:f>IF(D377="","",MAX(0,(Configuracion!$B$11-I377)/G377))</x:f>
      </x:c>
      <x:c r="L377" s="73" t="str">
        <x:f>IF(D377="","",C377+K377*60)</x:f>
      </x:c>
      <x:c r="M377" t="str">
        <x:f>IF(D377="","",IF(J377&gt;=Configuracion!$B$13,"DESLIZAR",IF(J377&gt;=Configuracion!$B$12,"PREPARARSE","NO DESLIZAR")))</x:f>
      </x:c>
      <x:c r="N377" s="41" t="str">
        <x:f>IF(D377="","",D377-$D$8)</x:f>
      </x:c>
      <x:c r="O377" s="46" t="str">
        <x:f>IF(D377="","",MAX(0,MIN(1,N377/Configuracion!$B$10)))</x:f>
      </x:c>
    </x:row>
    <x:row r="378">
      <x:c r="A378" s="34"/>
      <x:c r="B378" s="36"/>
      <x:c r="C378" s="72"/>
      <x:c r="D378" s="71"/>
      <x:c r="E378" s="41" t="str">
        <x:f>IF(D378="","",D378+273.15)</x:f>
      </x:c>
      <x:c r="F378" s="44" t="str">
        <x:f>IF(OR(C378="",D378="",C377=""),"",(C378-C377)/60)</x:f>
      </x:c>
      <x:c r="G378" s="44" t="str">
        <x:f>IF(D378="","",EXP(-Configuracion!$B$4/Configuracion!$B$5*(1/AVERAGE(E377:E378)-1/(Configuracion!$B$3+273.15))))</x:f>
      </x:c>
      <x:c r="H378" s="44" t="str">
        <x:f>IF(D378="","",F378*G378)</x:f>
      </x:c>
      <x:c r="I378" s="44" t="str">
        <x:f>IF(D378="","",I377+H378)</x:f>
      </x:c>
      <x:c r="J378" s="46" t="str">
        <x:f>IF(D378="","",MIN(1,I378/Configuracion!$B$11))</x:f>
      </x:c>
      <x:c r="K378" s="48" t="str">
        <x:f>IF(D378="","",MAX(0,(Configuracion!$B$11-I378)/G378))</x:f>
      </x:c>
      <x:c r="L378" s="73" t="str">
        <x:f>IF(D378="","",C378+K378*60)</x:f>
      </x:c>
      <x:c r="M378" t="str">
        <x:f>IF(D378="","",IF(J378&gt;=Configuracion!$B$13,"DESLIZAR",IF(J378&gt;=Configuracion!$B$12,"PREPARARSE","NO DESLIZAR")))</x:f>
      </x:c>
      <x:c r="N378" s="41" t="str">
        <x:f>IF(D378="","",D378-$D$8)</x:f>
      </x:c>
      <x:c r="O378" s="46" t="str">
        <x:f>IF(D378="","",MAX(0,MIN(1,N378/Configuracion!$B$10)))</x:f>
      </x:c>
    </x:row>
    <x:row r="379">
      <x:c r="A379" s="34"/>
      <x:c r="B379" s="36"/>
      <x:c r="C379" s="72"/>
      <x:c r="D379" s="71"/>
      <x:c r="E379" s="41" t="str">
        <x:f>IF(D379="","",D379+273.15)</x:f>
      </x:c>
      <x:c r="F379" s="44" t="str">
        <x:f>IF(OR(C379="",D379="",C378=""),"",(C379-C378)/60)</x:f>
      </x:c>
      <x:c r="G379" s="44" t="str">
        <x:f>IF(D379="","",EXP(-Configuracion!$B$4/Configuracion!$B$5*(1/AVERAGE(E378:E379)-1/(Configuracion!$B$3+273.15))))</x:f>
      </x:c>
      <x:c r="H379" s="44" t="str">
        <x:f>IF(D379="","",F379*G379)</x:f>
      </x:c>
      <x:c r="I379" s="44" t="str">
        <x:f>IF(D379="","",I378+H379)</x:f>
      </x:c>
      <x:c r="J379" s="46" t="str">
        <x:f>IF(D379="","",MIN(1,I379/Configuracion!$B$11))</x:f>
      </x:c>
      <x:c r="K379" s="48" t="str">
        <x:f>IF(D379="","",MAX(0,(Configuracion!$B$11-I379)/G379))</x:f>
      </x:c>
      <x:c r="L379" s="73" t="str">
        <x:f>IF(D379="","",C379+K379*60)</x:f>
      </x:c>
      <x:c r="M379" t="str">
        <x:f>IF(D379="","",IF(J379&gt;=Configuracion!$B$13,"DESLIZAR",IF(J379&gt;=Configuracion!$B$12,"PREPARARSE","NO DESLIZAR")))</x:f>
      </x:c>
      <x:c r="N379" s="41" t="str">
        <x:f>IF(D379="","",D379-$D$8)</x:f>
      </x:c>
      <x:c r="O379" s="46" t="str">
        <x:f>IF(D379="","",MAX(0,MIN(1,N379/Configuracion!$B$10)))</x:f>
      </x:c>
    </x:row>
    <x:row r="380">
      <x:c r="A380" s="34"/>
      <x:c r="B380" s="36"/>
      <x:c r="C380" s="72"/>
      <x:c r="D380" s="71"/>
      <x:c r="E380" s="41" t="str">
        <x:f>IF(D380="","",D380+273.15)</x:f>
      </x:c>
      <x:c r="F380" s="44" t="str">
        <x:f>IF(OR(C380="",D380="",C379=""),"",(C380-C379)/60)</x:f>
      </x:c>
      <x:c r="G380" s="44" t="str">
        <x:f>IF(D380="","",EXP(-Configuracion!$B$4/Configuracion!$B$5*(1/AVERAGE(E379:E380)-1/(Configuracion!$B$3+273.15))))</x:f>
      </x:c>
      <x:c r="H380" s="44" t="str">
        <x:f>IF(D380="","",F380*G380)</x:f>
      </x:c>
      <x:c r="I380" s="44" t="str">
        <x:f>IF(D380="","",I379+H380)</x:f>
      </x:c>
      <x:c r="J380" s="46" t="str">
        <x:f>IF(D380="","",MIN(1,I380/Configuracion!$B$11))</x:f>
      </x:c>
      <x:c r="K380" s="48" t="str">
        <x:f>IF(D380="","",MAX(0,(Configuracion!$B$11-I380)/G380))</x:f>
      </x:c>
      <x:c r="L380" s="73" t="str">
        <x:f>IF(D380="","",C380+K380*60)</x:f>
      </x:c>
      <x:c r="M380" t="str">
        <x:f>IF(D380="","",IF(J380&gt;=Configuracion!$B$13,"DESLIZAR",IF(J380&gt;=Configuracion!$B$12,"PREPARARSE","NO DESLIZAR")))</x:f>
      </x:c>
      <x:c r="N380" s="41" t="str">
        <x:f>IF(D380="","",D380-$D$8)</x:f>
      </x:c>
      <x:c r="O380" s="46" t="str">
        <x:f>IF(D380="","",MAX(0,MIN(1,N380/Configuracion!$B$10)))</x:f>
      </x:c>
    </x:row>
    <x:row r="381">
      <x:c r="A381" s="34"/>
      <x:c r="B381" s="36"/>
      <x:c r="C381" s="72"/>
      <x:c r="D381" s="71"/>
      <x:c r="E381" s="41" t="str">
        <x:f>IF(D381="","",D381+273.15)</x:f>
      </x:c>
      <x:c r="F381" s="44" t="str">
        <x:f>IF(OR(C381="",D381="",C380=""),"",(C381-C380)/60)</x:f>
      </x:c>
      <x:c r="G381" s="44" t="str">
        <x:f>IF(D381="","",EXP(-Configuracion!$B$4/Configuracion!$B$5*(1/AVERAGE(E380:E381)-1/(Configuracion!$B$3+273.15))))</x:f>
      </x:c>
      <x:c r="H381" s="44" t="str">
        <x:f>IF(D381="","",F381*G381)</x:f>
      </x:c>
      <x:c r="I381" s="44" t="str">
        <x:f>IF(D381="","",I380+H381)</x:f>
      </x:c>
      <x:c r="J381" s="46" t="str">
        <x:f>IF(D381="","",MIN(1,I381/Configuracion!$B$11))</x:f>
      </x:c>
      <x:c r="K381" s="48" t="str">
        <x:f>IF(D381="","",MAX(0,(Configuracion!$B$11-I381)/G381))</x:f>
      </x:c>
      <x:c r="L381" s="73" t="str">
        <x:f>IF(D381="","",C381+K381*60)</x:f>
      </x:c>
      <x:c r="M381" t="str">
        <x:f>IF(D381="","",IF(J381&gt;=Configuracion!$B$13,"DESLIZAR",IF(J381&gt;=Configuracion!$B$12,"PREPARARSE","NO DESLIZAR")))</x:f>
      </x:c>
      <x:c r="N381" s="41" t="str">
        <x:f>IF(D381="","",D381-$D$8)</x:f>
      </x:c>
      <x:c r="O381" s="46" t="str">
        <x:f>IF(D381="","",MAX(0,MIN(1,N381/Configuracion!$B$10)))</x:f>
      </x:c>
    </x:row>
    <x:row r="382">
      <x:c r="A382" s="34"/>
      <x:c r="B382" s="36"/>
      <x:c r="C382" s="72"/>
      <x:c r="D382" s="71"/>
      <x:c r="E382" s="41" t="str">
        <x:f>IF(D382="","",D382+273.15)</x:f>
      </x:c>
      <x:c r="F382" s="44" t="str">
        <x:f>IF(OR(C382="",D382="",C381=""),"",(C382-C381)/60)</x:f>
      </x:c>
      <x:c r="G382" s="44" t="str">
        <x:f>IF(D382="","",EXP(-Configuracion!$B$4/Configuracion!$B$5*(1/AVERAGE(E381:E382)-1/(Configuracion!$B$3+273.15))))</x:f>
      </x:c>
      <x:c r="H382" s="44" t="str">
        <x:f>IF(D382="","",F382*G382)</x:f>
      </x:c>
      <x:c r="I382" s="44" t="str">
        <x:f>IF(D382="","",I381+H382)</x:f>
      </x:c>
      <x:c r="J382" s="46" t="str">
        <x:f>IF(D382="","",MIN(1,I382/Configuracion!$B$11))</x:f>
      </x:c>
      <x:c r="K382" s="48" t="str">
        <x:f>IF(D382="","",MAX(0,(Configuracion!$B$11-I382)/G382))</x:f>
      </x:c>
      <x:c r="L382" s="73" t="str">
        <x:f>IF(D382="","",C382+K382*60)</x:f>
      </x:c>
      <x:c r="M382" t="str">
        <x:f>IF(D382="","",IF(J382&gt;=Configuracion!$B$13,"DESLIZAR",IF(J382&gt;=Configuracion!$B$12,"PREPARARSE","NO DESLIZAR")))</x:f>
      </x:c>
      <x:c r="N382" s="41" t="str">
        <x:f>IF(D382="","",D382-$D$8)</x:f>
      </x:c>
      <x:c r="O382" s="46" t="str">
        <x:f>IF(D382="","",MAX(0,MIN(1,N382/Configuracion!$B$10)))</x:f>
      </x:c>
    </x:row>
    <x:row r="383">
      <x:c r="A383" s="34"/>
      <x:c r="B383" s="36"/>
      <x:c r="C383" s="72"/>
      <x:c r="D383" s="71"/>
      <x:c r="E383" s="41" t="str">
        <x:f>IF(D383="","",D383+273.15)</x:f>
      </x:c>
      <x:c r="F383" s="44" t="str">
        <x:f>IF(OR(C383="",D383="",C382=""),"",(C383-C382)/60)</x:f>
      </x:c>
      <x:c r="G383" s="44" t="str">
        <x:f>IF(D383="","",EXP(-Configuracion!$B$4/Configuracion!$B$5*(1/AVERAGE(E382:E383)-1/(Configuracion!$B$3+273.15))))</x:f>
      </x:c>
      <x:c r="H383" s="44" t="str">
        <x:f>IF(D383="","",F383*G383)</x:f>
      </x:c>
      <x:c r="I383" s="44" t="str">
        <x:f>IF(D383="","",I382+H383)</x:f>
      </x:c>
      <x:c r="J383" s="46" t="str">
        <x:f>IF(D383="","",MIN(1,I383/Configuracion!$B$11))</x:f>
      </x:c>
      <x:c r="K383" s="48" t="str">
        <x:f>IF(D383="","",MAX(0,(Configuracion!$B$11-I383)/G383))</x:f>
      </x:c>
      <x:c r="L383" s="73" t="str">
        <x:f>IF(D383="","",C383+K383*60)</x:f>
      </x:c>
      <x:c r="M383" t="str">
        <x:f>IF(D383="","",IF(J383&gt;=Configuracion!$B$13,"DESLIZAR",IF(J383&gt;=Configuracion!$B$12,"PREPARARSE","NO DESLIZAR")))</x:f>
      </x:c>
      <x:c r="N383" s="41" t="str">
        <x:f>IF(D383="","",D383-$D$8)</x:f>
      </x:c>
      <x:c r="O383" s="46" t="str">
        <x:f>IF(D383="","",MAX(0,MIN(1,N383/Configuracion!$B$10)))</x:f>
      </x:c>
    </x:row>
    <x:row r="384">
      <x:c r="A384" s="34"/>
      <x:c r="B384" s="36"/>
      <x:c r="C384" s="72"/>
      <x:c r="D384" s="71"/>
      <x:c r="E384" s="41" t="str">
        <x:f>IF(D384="","",D384+273.15)</x:f>
      </x:c>
      <x:c r="F384" s="44" t="str">
        <x:f>IF(OR(C384="",D384="",C383=""),"",(C384-C383)/60)</x:f>
      </x:c>
      <x:c r="G384" s="44" t="str">
        <x:f>IF(D384="","",EXP(-Configuracion!$B$4/Configuracion!$B$5*(1/AVERAGE(E383:E384)-1/(Configuracion!$B$3+273.15))))</x:f>
      </x:c>
      <x:c r="H384" s="44" t="str">
        <x:f>IF(D384="","",F384*G384)</x:f>
      </x:c>
      <x:c r="I384" s="44" t="str">
        <x:f>IF(D384="","",I383+H384)</x:f>
      </x:c>
      <x:c r="J384" s="46" t="str">
        <x:f>IF(D384="","",MIN(1,I384/Configuracion!$B$11))</x:f>
      </x:c>
      <x:c r="K384" s="48" t="str">
        <x:f>IF(D384="","",MAX(0,(Configuracion!$B$11-I384)/G384))</x:f>
      </x:c>
      <x:c r="L384" s="73" t="str">
        <x:f>IF(D384="","",C384+K384*60)</x:f>
      </x:c>
      <x:c r="M384" t="str">
        <x:f>IF(D384="","",IF(J384&gt;=Configuracion!$B$13,"DESLIZAR",IF(J384&gt;=Configuracion!$B$12,"PREPARARSE","NO DESLIZAR")))</x:f>
      </x:c>
      <x:c r="N384" s="41" t="str">
        <x:f>IF(D384="","",D384-$D$8)</x:f>
      </x:c>
      <x:c r="O384" s="46" t="str">
        <x:f>IF(D384="","",MAX(0,MIN(1,N384/Configuracion!$B$10)))</x:f>
      </x:c>
    </x:row>
    <x:row r="385">
      <x:c r="A385" s="34"/>
      <x:c r="B385" s="36"/>
      <x:c r="C385" s="72"/>
      <x:c r="D385" s="71"/>
      <x:c r="E385" s="41" t="str">
        <x:f>IF(D385="","",D385+273.15)</x:f>
      </x:c>
      <x:c r="F385" s="44" t="str">
        <x:f>IF(OR(C385="",D385="",C384=""),"",(C385-C384)/60)</x:f>
      </x:c>
      <x:c r="G385" s="44" t="str">
        <x:f>IF(D385="","",EXP(-Configuracion!$B$4/Configuracion!$B$5*(1/AVERAGE(E384:E385)-1/(Configuracion!$B$3+273.15))))</x:f>
      </x:c>
      <x:c r="H385" s="44" t="str">
        <x:f>IF(D385="","",F385*G385)</x:f>
      </x:c>
      <x:c r="I385" s="44" t="str">
        <x:f>IF(D385="","",I384+H385)</x:f>
      </x:c>
      <x:c r="J385" s="46" t="str">
        <x:f>IF(D385="","",MIN(1,I385/Configuracion!$B$11))</x:f>
      </x:c>
      <x:c r="K385" s="48" t="str">
        <x:f>IF(D385="","",MAX(0,(Configuracion!$B$11-I385)/G385))</x:f>
      </x:c>
      <x:c r="L385" s="73" t="str">
        <x:f>IF(D385="","",C385+K385*60)</x:f>
      </x:c>
      <x:c r="M385" t="str">
        <x:f>IF(D385="","",IF(J385&gt;=Configuracion!$B$13,"DESLIZAR",IF(J385&gt;=Configuracion!$B$12,"PREPARARSE","NO DESLIZAR")))</x:f>
      </x:c>
      <x:c r="N385" s="41" t="str">
        <x:f>IF(D385="","",D385-$D$8)</x:f>
      </x:c>
      <x:c r="O385" s="46" t="str">
        <x:f>IF(D385="","",MAX(0,MIN(1,N385/Configuracion!$B$10)))</x:f>
      </x:c>
    </x:row>
    <x:row r="386">
      <x:c r="A386" s="34"/>
      <x:c r="B386" s="36"/>
      <x:c r="C386" s="72"/>
      <x:c r="D386" s="71"/>
      <x:c r="E386" s="41" t="str">
        <x:f>IF(D386="","",D386+273.15)</x:f>
      </x:c>
      <x:c r="F386" s="44" t="str">
        <x:f>IF(OR(C386="",D386="",C385=""),"",(C386-C385)/60)</x:f>
      </x:c>
      <x:c r="G386" s="44" t="str">
        <x:f>IF(D386="","",EXP(-Configuracion!$B$4/Configuracion!$B$5*(1/AVERAGE(E385:E386)-1/(Configuracion!$B$3+273.15))))</x:f>
      </x:c>
      <x:c r="H386" s="44" t="str">
        <x:f>IF(D386="","",F386*G386)</x:f>
      </x:c>
      <x:c r="I386" s="44" t="str">
        <x:f>IF(D386="","",I385+H386)</x:f>
      </x:c>
      <x:c r="J386" s="46" t="str">
        <x:f>IF(D386="","",MIN(1,I386/Configuracion!$B$11))</x:f>
      </x:c>
      <x:c r="K386" s="48" t="str">
        <x:f>IF(D386="","",MAX(0,(Configuracion!$B$11-I386)/G386))</x:f>
      </x:c>
      <x:c r="L386" s="73" t="str">
        <x:f>IF(D386="","",C386+K386*60)</x:f>
      </x:c>
      <x:c r="M386" t="str">
        <x:f>IF(D386="","",IF(J386&gt;=Configuracion!$B$13,"DESLIZAR",IF(J386&gt;=Configuracion!$B$12,"PREPARARSE","NO DESLIZAR")))</x:f>
      </x:c>
      <x:c r="N386" s="41" t="str">
        <x:f>IF(D386="","",D386-$D$8)</x:f>
      </x:c>
      <x:c r="O386" s="46" t="str">
        <x:f>IF(D386="","",MAX(0,MIN(1,N386/Configuracion!$B$10)))</x:f>
      </x:c>
    </x:row>
    <x:row r="387">
      <x:c r="A387" s="34"/>
      <x:c r="B387" s="36"/>
      <x:c r="C387" s="72"/>
      <x:c r="D387" s="71"/>
      <x:c r="E387" s="41" t="str">
        <x:f>IF(D387="","",D387+273.15)</x:f>
      </x:c>
      <x:c r="F387" s="44" t="str">
        <x:f>IF(OR(C387="",D387="",C386=""),"",(C387-C386)/60)</x:f>
      </x:c>
      <x:c r="G387" s="44" t="str">
        <x:f>IF(D387="","",EXP(-Configuracion!$B$4/Configuracion!$B$5*(1/AVERAGE(E386:E387)-1/(Configuracion!$B$3+273.15))))</x:f>
      </x:c>
      <x:c r="H387" s="44" t="str">
        <x:f>IF(D387="","",F387*G387)</x:f>
      </x:c>
      <x:c r="I387" s="44" t="str">
        <x:f>IF(D387="","",I386+H387)</x:f>
      </x:c>
      <x:c r="J387" s="46" t="str">
        <x:f>IF(D387="","",MIN(1,I387/Configuracion!$B$11))</x:f>
      </x:c>
      <x:c r="K387" s="48" t="str">
        <x:f>IF(D387="","",MAX(0,(Configuracion!$B$11-I387)/G387))</x:f>
      </x:c>
      <x:c r="L387" s="73" t="str">
        <x:f>IF(D387="","",C387+K387*60)</x:f>
      </x:c>
      <x:c r="M387" t="str">
        <x:f>IF(D387="","",IF(J387&gt;=Configuracion!$B$13,"DESLIZAR",IF(J387&gt;=Configuracion!$B$12,"PREPARARSE","NO DESLIZAR")))</x:f>
      </x:c>
      <x:c r="N387" s="41" t="str">
        <x:f>IF(D387="","",D387-$D$8)</x:f>
      </x:c>
      <x:c r="O387" s="46" t="str">
        <x:f>IF(D387="","",MAX(0,MIN(1,N387/Configuracion!$B$10)))</x:f>
      </x:c>
    </x:row>
    <x:row r="388">
      <x:c r="A388" s="34"/>
      <x:c r="B388" s="36"/>
      <x:c r="C388" s="72"/>
      <x:c r="D388" s="71"/>
      <x:c r="E388" s="41" t="str">
        <x:f>IF(D388="","",D388+273.15)</x:f>
      </x:c>
      <x:c r="F388" s="44" t="str">
        <x:f>IF(OR(C388="",D388="",C387=""),"",(C388-C387)/60)</x:f>
      </x:c>
      <x:c r="G388" s="44" t="str">
        <x:f>IF(D388="","",EXP(-Configuracion!$B$4/Configuracion!$B$5*(1/AVERAGE(E387:E388)-1/(Configuracion!$B$3+273.15))))</x:f>
      </x:c>
      <x:c r="H388" s="44" t="str">
        <x:f>IF(D388="","",F388*G388)</x:f>
      </x:c>
      <x:c r="I388" s="44" t="str">
        <x:f>IF(D388="","",I387+H388)</x:f>
      </x:c>
      <x:c r="J388" s="46" t="str">
        <x:f>IF(D388="","",MIN(1,I388/Configuracion!$B$11))</x:f>
      </x:c>
      <x:c r="K388" s="48" t="str">
        <x:f>IF(D388="","",MAX(0,(Configuracion!$B$11-I388)/G388))</x:f>
      </x:c>
      <x:c r="L388" s="73" t="str">
        <x:f>IF(D388="","",C388+K388*60)</x:f>
      </x:c>
      <x:c r="M388" t="str">
        <x:f>IF(D388="","",IF(J388&gt;=Configuracion!$B$13,"DESLIZAR",IF(J388&gt;=Configuracion!$B$12,"PREPARARSE","NO DESLIZAR")))</x:f>
      </x:c>
      <x:c r="N388" s="41" t="str">
        <x:f>IF(D388="","",D388-$D$8)</x:f>
      </x:c>
      <x:c r="O388" s="46" t="str">
        <x:f>IF(D388="","",MAX(0,MIN(1,N388/Configuracion!$B$10)))</x:f>
      </x:c>
    </x:row>
    <x:row r="389">
      <x:c r="A389" s="34"/>
      <x:c r="B389" s="36"/>
      <x:c r="C389" s="72"/>
      <x:c r="D389" s="71"/>
      <x:c r="E389" s="41" t="str">
        <x:f>IF(D389="","",D389+273.15)</x:f>
      </x:c>
      <x:c r="F389" s="44" t="str">
        <x:f>IF(OR(C389="",D389="",C388=""),"",(C389-C388)/60)</x:f>
      </x:c>
      <x:c r="G389" s="44" t="str">
        <x:f>IF(D389="","",EXP(-Configuracion!$B$4/Configuracion!$B$5*(1/AVERAGE(E388:E389)-1/(Configuracion!$B$3+273.15))))</x:f>
      </x:c>
      <x:c r="H389" s="44" t="str">
        <x:f>IF(D389="","",F389*G389)</x:f>
      </x:c>
      <x:c r="I389" s="44" t="str">
        <x:f>IF(D389="","",I388+H389)</x:f>
      </x:c>
      <x:c r="J389" s="46" t="str">
        <x:f>IF(D389="","",MIN(1,I389/Configuracion!$B$11))</x:f>
      </x:c>
      <x:c r="K389" s="48" t="str">
        <x:f>IF(D389="","",MAX(0,(Configuracion!$B$11-I389)/G389))</x:f>
      </x:c>
      <x:c r="L389" s="73" t="str">
        <x:f>IF(D389="","",C389+K389*60)</x:f>
      </x:c>
      <x:c r="M389" t="str">
        <x:f>IF(D389="","",IF(J389&gt;=Configuracion!$B$13,"DESLIZAR",IF(J389&gt;=Configuracion!$B$12,"PREPARARSE","NO DESLIZAR")))</x:f>
      </x:c>
      <x:c r="N389" s="41" t="str">
        <x:f>IF(D389="","",D389-$D$8)</x:f>
      </x:c>
      <x:c r="O389" s="46" t="str">
        <x:f>IF(D389="","",MAX(0,MIN(1,N389/Configuracion!$B$10)))</x:f>
      </x:c>
    </x:row>
    <x:row r="390">
      <x:c r="A390" s="34"/>
      <x:c r="B390" s="36"/>
      <x:c r="C390" s="72"/>
      <x:c r="D390" s="71"/>
      <x:c r="E390" s="41" t="str">
        <x:f>IF(D390="","",D390+273.15)</x:f>
      </x:c>
      <x:c r="F390" s="44" t="str">
        <x:f>IF(OR(C390="",D390="",C389=""),"",(C390-C389)/60)</x:f>
      </x:c>
      <x:c r="G390" s="44" t="str">
        <x:f>IF(D390="","",EXP(-Configuracion!$B$4/Configuracion!$B$5*(1/AVERAGE(E389:E390)-1/(Configuracion!$B$3+273.15))))</x:f>
      </x:c>
      <x:c r="H390" s="44" t="str">
        <x:f>IF(D390="","",F390*G390)</x:f>
      </x:c>
      <x:c r="I390" s="44" t="str">
        <x:f>IF(D390="","",I389+H390)</x:f>
      </x:c>
      <x:c r="J390" s="46" t="str">
        <x:f>IF(D390="","",MIN(1,I390/Configuracion!$B$11))</x:f>
      </x:c>
      <x:c r="K390" s="48" t="str">
        <x:f>IF(D390="","",MAX(0,(Configuracion!$B$11-I390)/G390))</x:f>
      </x:c>
      <x:c r="L390" s="73" t="str">
        <x:f>IF(D390="","",C390+K390*60)</x:f>
      </x:c>
      <x:c r="M390" t="str">
        <x:f>IF(D390="","",IF(J390&gt;=Configuracion!$B$13,"DESLIZAR",IF(J390&gt;=Configuracion!$B$12,"PREPARARSE","NO DESLIZAR")))</x:f>
      </x:c>
      <x:c r="N390" s="41" t="str">
        <x:f>IF(D390="","",D390-$D$8)</x:f>
      </x:c>
      <x:c r="O390" s="46" t="str">
        <x:f>IF(D390="","",MAX(0,MIN(1,N390/Configuracion!$B$10)))</x:f>
      </x:c>
    </x:row>
    <x:row r="391">
      <x:c r="A391" s="34"/>
      <x:c r="B391" s="36"/>
      <x:c r="C391" s="72"/>
      <x:c r="D391" s="71"/>
      <x:c r="E391" s="41" t="str">
        <x:f>IF(D391="","",D391+273.15)</x:f>
      </x:c>
      <x:c r="F391" s="44" t="str">
        <x:f>IF(OR(C391="",D391="",C390=""),"",(C391-C390)/60)</x:f>
      </x:c>
      <x:c r="G391" s="44" t="str">
        <x:f>IF(D391="","",EXP(-Configuracion!$B$4/Configuracion!$B$5*(1/AVERAGE(E390:E391)-1/(Configuracion!$B$3+273.15))))</x:f>
      </x:c>
      <x:c r="H391" s="44" t="str">
        <x:f>IF(D391="","",F391*G391)</x:f>
      </x:c>
      <x:c r="I391" s="44" t="str">
        <x:f>IF(D391="","",I390+H391)</x:f>
      </x:c>
      <x:c r="J391" s="46" t="str">
        <x:f>IF(D391="","",MIN(1,I391/Configuracion!$B$11))</x:f>
      </x:c>
      <x:c r="K391" s="48" t="str">
        <x:f>IF(D391="","",MAX(0,(Configuracion!$B$11-I391)/G391))</x:f>
      </x:c>
      <x:c r="L391" s="73" t="str">
        <x:f>IF(D391="","",C391+K391*60)</x:f>
      </x:c>
      <x:c r="M391" t="str">
        <x:f>IF(D391="","",IF(J391&gt;=Configuracion!$B$13,"DESLIZAR",IF(J391&gt;=Configuracion!$B$12,"PREPARARSE","NO DESLIZAR")))</x:f>
      </x:c>
      <x:c r="N391" s="41" t="str">
        <x:f>IF(D391="","",D391-$D$8)</x:f>
      </x:c>
      <x:c r="O391" s="46" t="str">
        <x:f>IF(D391="","",MAX(0,MIN(1,N391/Configuracion!$B$10)))</x:f>
      </x:c>
    </x:row>
    <x:row r="392">
      <x:c r="A392" s="34"/>
      <x:c r="B392" s="36"/>
      <x:c r="C392" s="72"/>
      <x:c r="D392" s="71"/>
      <x:c r="E392" s="41" t="str">
        <x:f>IF(D392="","",D392+273.15)</x:f>
      </x:c>
      <x:c r="F392" s="44" t="str">
        <x:f>IF(OR(C392="",D392="",C391=""),"",(C392-C391)/60)</x:f>
      </x:c>
      <x:c r="G392" s="44" t="str">
        <x:f>IF(D392="","",EXP(-Configuracion!$B$4/Configuracion!$B$5*(1/AVERAGE(E391:E392)-1/(Configuracion!$B$3+273.15))))</x:f>
      </x:c>
      <x:c r="H392" s="44" t="str">
        <x:f>IF(D392="","",F392*G392)</x:f>
      </x:c>
      <x:c r="I392" s="44" t="str">
        <x:f>IF(D392="","",I391+H392)</x:f>
      </x:c>
      <x:c r="J392" s="46" t="str">
        <x:f>IF(D392="","",MIN(1,I392/Configuracion!$B$11))</x:f>
      </x:c>
      <x:c r="K392" s="48" t="str">
        <x:f>IF(D392="","",MAX(0,(Configuracion!$B$11-I392)/G392))</x:f>
      </x:c>
      <x:c r="L392" s="73" t="str">
        <x:f>IF(D392="","",C392+K392*60)</x:f>
      </x:c>
      <x:c r="M392" t="str">
        <x:f>IF(D392="","",IF(J392&gt;=Configuracion!$B$13,"DESLIZAR",IF(J392&gt;=Configuracion!$B$12,"PREPARARSE","NO DESLIZAR")))</x:f>
      </x:c>
      <x:c r="N392" s="41" t="str">
        <x:f>IF(D392="","",D392-$D$8)</x:f>
      </x:c>
      <x:c r="O392" s="46" t="str">
        <x:f>IF(D392="","",MAX(0,MIN(1,N392/Configuracion!$B$10)))</x:f>
      </x:c>
    </x:row>
    <x:row r="393">
      <x:c r="A393" s="34"/>
      <x:c r="B393" s="36"/>
      <x:c r="C393" s="72"/>
      <x:c r="D393" s="71"/>
      <x:c r="E393" s="41" t="str">
        <x:f>IF(D393="","",D393+273.15)</x:f>
      </x:c>
      <x:c r="F393" s="44" t="str">
        <x:f>IF(OR(C393="",D393="",C392=""),"",(C393-C392)/60)</x:f>
      </x:c>
      <x:c r="G393" s="44" t="str">
        <x:f>IF(D393="","",EXP(-Configuracion!$B$4/Configuracion!$B$5*(1/AVERAGE(E392:E393)-1/(Configuracion!$B$3+273.15))))</x:f>
      </x:c>
      <x:c r="H393" s="44" t="str">
        <x:f>IF(D393="","",F393*G393)</x:f>
      </x:c>
      <x:c r="I393" s="44" t="str">
        <x:f>IF(D393="","",I392+H393)</x:f>
      </x:c>
      <x:c r="J393" s="46" t="str">
        <x:f>IF(D393="","",MIN(1,I393/Configuracion!$B$11))</x:f>
      </x:c>
      <x:c r="K393" s="48" t="str">
        <x:f>IF(D393="","",MAX(0,(Configuracion!$B$11-I393)/G393))</x:f>
      </x:c>
      <x:c r="L393" s="73" t="str">
        <x:f>IF(D393="","",C393+K393*60)</x:f>
      </x:c>
      <x:c r="M393" t="str">
        <x:f>IF(D393="","",IF(J393&gt;=Configuracion!$B$13,"DESLIZAR",IF(J393&gt;=Configuracion!$B$12,"PREPARARSE","NO DESLIZAR")))</x:f>
      </x:c>
      <x:c r="N393" s="41" t="str">
        <x:f>IF(D393="","",D393-$D$8)</x:f>
      </x:c>
      <x:c r="O393" s="46" t="str">
        <x:f>IF(D393="","",MAX(0,MIN(1,N393/Configuracion!$B$10)))</x:f>
      </x:c>
    </x:row>
    <x:row r="394">
      <x:c r="A394" s="34"/>
      <x:c r="B394" s="36"/>
      <x:c r="C394" s="72"/>
      <x:c r="D394" s="71"/>
      <x:c r="E394" s="41" t="str">
        <x:f>IF(D394="","",D394+273.15)</x:f>
      </x:c>
      <x:c r="F394" s="44" t="str">
        <x:f>IF(OR(C394="",D394="",C393=""),"",(C394-C393)/60)</x:f>
      </x:c>
      <x:c r="G394" s="44" t="str">
        <x:f>IF(D394="","",EXP(-Configuracion!$B$4/Configuracion!$B$5*(1/AVERAGE(E393:E394)-1/(Configuracion!$B$3+273.15))))</x:f>
      </x:c>
      <x:c r="H394" s="44" t="str">
        <x:f>IF(D394="","",F394*G394)</x:f>
      </x:c>
      <x:c r="I394" s="44" t="str">
        <x:f>IF(D394="","",I393+H394)</x:f>
      </x:c>
      <x:c r="J394" s="46" t="str">
        <x:f>IF(D394="","",MIN(1,I394/Configuracion!$B$11))</x:f>
      </x:c>
      <x:c r="K394" s="48" t="str">
        <x:f>IF(D394="","",MAX(0,(Configuracion!$B$11-I394)/G394))</x:f>
      </x:c>
      <x:c r="L394" s="73" t="str">
        <x:f>IF(D394="","",C394+K394*60)</x:f>
      </x:c>
      <x:c r="M394" t="str">
        <x:f>IF(D394="","",IF(J394&gt;=Configuracion!$B$13,"DESLIZAR",IF(J394&gt;=Configuracion!$B$12,"PREPARARSE","NO DESLIZAR")))</x:f>
      </x:c>
      <x:c r="N394" s="41" t="str">
        <x:f>IF(D394="","",D394-$D$8)</x:f>
      </x:c>
      <x:c r="O394" s="46" t="str">
        <x:f>IF(D394="","",MAX(0,MIN(1,N394/Configuracion!$B$10)))</x:f>
      </x:c>
    </x:row>
    <x:row r="395">
      <x:c r="A395" s="34"/>
      <x:c r="B395" s="36"/>
      <x:c r="C395" s="72"/>
      <x:c r="D395" s="71"/>
      <x:c r="E395" s="41" t="str">
        <x:f>IF(D395="","",D395+273.15)</x:f>
      </x:c>
      <x:c r="F395" s="44" t="str">
        <x:f>IF(OR(C395="",D395="",C394=""),"",(C395-C394)/60)</x:f>
      </x:c>
      <x:c r="G395" s="44" t="str">
        <x:f>IF(D395="","",EXP(-Configuracion!$B$4/Configuracion!$B$5*(1/AVERAGE(E394:E395)-1/(Configuracion!$B$3+273.15))))</x:f>
      </x:c>
      <x:c r="H395" s="44" t="str">
        <x:f>IF(D395="","",F395*G395)</x:f>
      </x:c>
      <x:c r="I395" s="44" t="str">
        <x:f>IF(D395="","",I394+H395)</x:f>
      </x:c>
      <x:c r="J395" s="46" t="str">
        <x:f>IF(D395="","",MIN(1,I395/Configuracion!$B$11))</x:f>
      </x:c>
      <x:c r="K395" s="48" t="str">
        <x:f>IF(D395="","",MAX(0,(Configuracion!$B$11-I395)/G395))</x:f>
      </x:c>
      <x:c r="L395" s="73" t="str">
        <x:f>IF(D395="","",C395+K395*60)</x:f>
      </x:c>
      <x:c r="M395" t="str">
        <x:f>IF(D395="","",IF(J395&gt;=Configuracion!$B$13,"DESLIZAR",IF(J395&gt;=Configuracion!$B$12,"PREPARARSE","NO DESLIZAR")))</x:f>
      </x:c>
      <x:c r="N395" s="41" t="str">
        <x:f>IF(D395="","",D395-$D$8)</x:f>
      </x:c>
      <x:c r="O395" s="46" t="str">
        <x:f>IF(D395="","",MAX(0,MIN(1,N395/Configuracion!$B$10)))</x:f>
      </x:c>
    </x:row>
    <x:row r="396">
      <x:c r="A396" s="34"/>
      <x:c r="B396" s="36"/>
      <x:c r="C396" s="72"/>
      <x:c r="D396" s="71"/>
      <x:c r="E396" s="41" t="str">
        <x:f>IF(D396="","",D396+273.15)</x:f>
      </x:c>
      <x:c r="F396" s="44" t="str">
        <x:f>IF(OR(C396="",D396="",C395=""),"",(C396-C395)/60)</x:f>
      </x:c>
      <x:c r="G396" s="44" t="str">
        <x:f>IF(D396="","",EXP(-Configuracion!$B$4/Configuracion!$B$5*(1/AVERAGE(E395:E396)-1/(Configuracion!$B$3+273.15))))</x:f>
      </x:c>
      <x:c r="H396" s="44" t="str">
        <x:f>IF(D396="","",F396*G396)</x:f>
      </x:c>
      <x:c r="I396" s="44" t="str">
        <x:f>IF(D396="","",I395+H396)</x:f>
      </x:c>
      <x:c r="J396" s="46" t="str">
        <x:f>IF(D396="","",MIN(1,I396/Configuracion!$B$11))</x:f>
      </x:c>
      <x:c r="K396" s="48" t="str">
        <x:f>IF(D396="","",MAX(0,(Configuracion!$B$11-I396)/G396))</x:f>
      </x:c>
      <x:c r="L396" s="73" t="str">
        <x:f>IF(D396="","",C396+K396*60)</x:f>
      </x:c>
      <x:c r="M396" t="str">
        <x:f>IF(D396="","",IF(J396&gt;=Configuracion!$B$13,"DESLIZAR",IF(J396&gt;=Configuracion!$B$12,"PREPARARSE","NO DESLIZAR")))</x:f>
      </x:c>
      <x:c r="N396" s="41" t="str">
        <x:f>IF(D396="","",D396-$D$8)</x:f>
      </x:c>
      <x:c r="O396" s="46" t="str">
        <x:f>IF(D396="","",MAX(0,MIN(1,N396/Configuracion!$B$10)))</x:f>
      </x:c>
    </x:row>
    <x:row r="397">
      <x:c r="A397" s="34"/>
      <x:c r="B397" s="36"/>
      <x:c r="C397" s="72"/>
      <x:c r="D397" s="71"/>
      <x:c r="E397" s="41" t="str">
        <x:f>IF(D397="","",D397+273.15)</x:f>
      </x:c>
      <x:c r="F397" s="44" t="str">
        <x:f>IF(OR(C397="",D397="",C396=""),"",(C397-C396)/60)</x:f>
      </x:c>
      <x:c r="G397" s="44" t="str">
        <x:f>IF(D397="","",EXP(-Configuracion!$B$4/Configuracion!$B$5*(1/AVERAGE(E396:E397)-1/(Configuracion!$B$3+273.15))))</x:f>
      </x:c>
      <x:c r="H397" s="44" t="str">
        <x:f>IF(D397="","",F397*G397)</x:f>
      </x:c>
      <x:c r="I397" s="44" t="str">
        <x:f>IF(D397="","",I396+H397)</x:f>
      </x:c>
      <x:c r="J397" s="46" t="str">
        <x:f>IF(D397="","",MIN(1,I397/Configuracion!$B$11))</x:f>
      </x:c>
      <x:c r="K397" s="48" t="str">
        <x:f>IF(D397="","",MAX(0,(Configuracion!$B$11-I397)/G397))</x:f>
      </x:c>
      <x:c r="L397" s="73" t="str">
        <x:f>IF(D397="","",C397+K397*60)</x:f>
      </x:c>
      <x:c r="M397" t="str">
        <x:f>IF(D397="","",IF(J397&gt;=Configuracion!$B$13,"DESLIZAR",IF(J397&gt;=Configuracion!$B$12,"PREPARARSE","NO DESLIZAR")))</x:f>
      </x:c>
      <x:c r="N397" s="41" t="str">
        <x:f>IF(D397="","",D397-$D$8)</x:f>
      </x:c>
      <x:c r="O397" s="46" t="str">
        <x:f>IF(D397="","",MAX(0,MIN(1,N397/Configuracion!$B$10)))</x:f>
      </x:c>
    </x:row>
    <x:row r="398">
      <x:c r="A398" s="34"/>
      <x:c r="B398" s="36"/>
      <x:c r="C398" s="72"/>
      <x:c r="D398" s="71"/>
      <x:c r="E398" s="41" t="str">
        <x:f>IF(D398="","",D398+273.15)</x:f>
      </x:c>
      <x:c r="F398" s="44" t="str">
        <x:f>IF(OR(C398="",D398="",C397=""),"",(C398-C397)/60)</x:f>
      </x:c>
      <x:c r="G398" s="44" t="str">
        <x:f>IF(D398="","",EXP(-Configuracion!$B$4/Configuracion!$B$5*(1/AVERAGE(E397:E398)-1/(Configuracion!$B$3+273.15))))</x:f>
      </x:c>
      <x:c r="H398" s="44" t="str">
        <x:f>IF(D398="","",F398*G398)</x:f>
      </x:c>
      <x:c r="I398" s="44" t="str">
        <x:f>IF(D398="","",I397+H398)</x:f>
      </x:c>
      <x:c r="J398" s="46" t="str">
        <x:f>IF(D398="","",MIN(1,I398/Configuracion!$B$11))</x:f>
      </x:c>
      <x:c r="K398" s="48" t="str">
        <x:f>IF(D398="","",MAX(0,(Configuracion!$B$11-I398)/G398))</x:f>
      </x:c>
      <x:c r="L398" s="73" t="str">
        <x:f>IF(D398="","",C398+K398*60)</x:f>
      </x:c>
      <x:c r="M398" t="str">
        <x:f>IF(D398="","",IF(J398&gt;=Configuracion!$B$13,"DESLIZAR",IF(J398&gt;=Configuracion!$B$12,"PREPARARSE","NO DESLIZAR")))</x:f>
      </x:c>
      <x:c r="N398" s="41" t="str">
        <x:f>IF(D398="","",D398-$D$8)</x:f>
      </x:c>
      <x:c r="O398" s="46" t="str">
        <x:f>IF(D398="","",MAX(0,MIN(1,N398/Configuracion!$B$10)))</x:f>
      </x:c>
    </x:row>
    <x:row r="399">
      <x:c r="A399" s="34"/>
      <x:c r="B399" s="36"/>
      <x:c r="C399" s="72"/>
      <x:c r="D399" s="71"/>
      <x:c r="E399" s="41" t="str">
        <x:f>IF(D399="","",D399+273.15)</x:f>
      </x:c>
      <x:c r="F399" s="44" t="str">
        <x:f>IF(OR(C399="",D399="",C398=""),"",(C399-C398)/60)</x:f>
      </x:c>
      <x:c r="G399" s="44" t="str">
        <x:f>IF(D399="","",EXP(-Configuracion!$B$4/Configuracion!$B$5*(1/AVERAGE(E398:E399)-1/(Configuracion!$B$3+273.15))))</x:f>
      </x:c>
      <x:c r="H399" s="44" t="str">
        <x:f>IF(D399="","",F399*G399)</x:f>
      </x:c>
      <x:c r="I399" s="44" t="str">
        <x:f>IF(D399="","",I398+H399)</x:f>
      </x:c>
      <x:c r="J399" s="46" t="str">
        <x:f>IF(D399="","",MIN(1,I399/Configuracion!$B$11))</x:f>
      </x:c>
      <x:c r="K399" s="48" t="str">
        <x:f>IF(D399="","",MAX(0,(Configuracion!$B$11-I399)/G399))</x:f>
      </x:c>
      <x:c r="L399" s="73" t="str">
        <x:f>IF(D399="","",C399+K399*60)</x:f>
      </x:c>
      <x:c r="M399" t="str">
        <x:f>IF(D399="","",IF(J399&gt;=Configuracion!$B$13,"DESLIZAR",IF(J399&gt;=Configuracion!$B$12,"PREPARARSE","NO DESLIZAR")))</x:f>
      </x:c>
      <x:c r="N399" s="41" t="str">
        <x:f>IF(D399="","",D399-$D$8)</x:f>
      </x:c>
      <x:c r="O399" s="46" t="str">
        <x:f>IF(D399="","",MAX(0,MIN(1,N399/Configuracion!$B$10)))</x:f>
      </x:c>
    </x:row>
    <x:row r="400">
      <x:c r="A400" s="34"/>
      <x:c r="B400" s="36"/>
      <x:c r="C400" s="72"/>
      <x:c r="D400" s="71"/>
      <x:c r="E400" s="41" t="str">
        <x:f>IF(D400="","",D400+273.15)</x:f>
      </x:c>
      <x:c r="F400" s="44" t="str">
        <x:f>IF(OR(C400="",D400="",C399=""),"",(C400-C399)/60)</x:f>
      </x:c>
      <x:c r="G400" s="44" t="str">
        <x:f>IF(D400="","",EXP(-Configuracion!$B$4/Configuracion!$B$5*(1/AVERAGE(E399:E400)-1/(Configuracion!$B$3+273.15))))</x:f>
      </x:c>
      <x:c r="H400" s="44" t="str">
        <x:f>IF(D400="","",F400*G400)</x:f>
      </x:c>
      <x:c r="I400" s="44" t="str">
        <x:f>IF(D400="","",I399+H400)</x:f>
      </x:c>
      <x:c r="J400" s="46" t="str">
        <x:f>IF(D400="","",MIN(1,I400/Configuracion!$B$11))</x:f>
      </x:c>
      <x:c r="K400" s="48" t="str">
        <x:f>IF(D400="","",MAX(0,(Configuracion!$B$11-I400)/G400))</x:f>
      </x:c>
      <x:c r="L400" s="73" t="str">
        <x:f>IF(D400="","",C400+K400*60)</x:f>
      </x:c>
      <x:c r="M400" t="str">
        <x:f>IF(D400="","",IF(J400&gt;=Configuracion!$B$13,"DESLIZAR",IF(J400&gt;=Configuracion!$B$12,"PREPARARSE","NO DESLIZAR")))</x:f>
      </x:c>
      <x:c r="N400" s="41" t="str">
        <x:f>IF(D400="","",D400-$D$8)</x:f>
      </x:c>
      <x:c r="O400" s="46" t="str">
        <x:f>IF(D400="","",MAX(0,MIN(1,N400/Configuracion!$B$10)))</x:f>
      </x:c>
    </x:row>
    <x:row r="401">
      <x:c r="A401" s="34"/>
      <x:c r="B401" s="36"/>
      <x:c r="C401" s="72"/>
      <x:c r="D401" s="71"/>
      <x:c r="E401" s="41" t="str">
        <x:f>IF(D401="","",D401+273.15)</x:f>
      </x:c>
      <x:c r="F401" s="44" t="str">
        <x:f>IF(OR(C401="",D401="",C400=""),"",(C401-C400)/60)</x:f>
      </x:c>
      <x:c r="G401" s="44" t="str">
        <x:f>IF(D401="","",EXP(-Configuracion!$B$4/Configuracion!$B$5*(1/AVERAGE(E400:E401)-1/(Configuracion!$B$3+273.15))))</x:f>
      </x:c>
      <x:c r="H401" s="44" t="str">
        <x:f>IF(D401="","",F401*G401)</x:f>
      </x:c>
      <x:c r="I401" s="44" t="str">
        <x:f>IF(D401="","",I400+H401)</x:f>
      </x:c>
      <x:c r="J401" s="46" t="str">
        <x:f>IF(D401="","",MIN(1,I401/Configuracion!$B$11))</x:f>
      </x:c>
      <x:c r="K401" s="48" t="str">
        <x:f>IF(D401="","",MAX(0,(Configuracion!$B$11-I401)/G401))</x:f>
      </x:c>
      <x:c r="L401" s="73" t="str">
        <x:f>IF(D401="","",C401+K401*60)</x:f>
      </x:c>
      <x:c r="M401" t="str">
        <x:f>IF(D401="","",IF(J401&gt;=Configuracion!$B$13,"DESLIZAR",IF(J401&gt;=Configuracion!$B$12,"PREPARARSE","NO DESLIZAR")))</x:f>
      </x:c>
      <x:c r="N401" s="41" t="str">
        <x:f>IF(D401="","",D401-$D$8)</x:f>
      </x:c>
      <x:c r="O401" s="46" t="str">
        <x:f>IF(D401="","",MAX(0,MIN(1,N401/Configuracion!$B$10)))</x:f>
      </x:c>
    </x:row>
    <x:row r="402">
      <x:c r="A402" s="34"/>
      <x:c r="B402" s="36"/>
      <x:c r="C402" s="72"/>
      <x:c r="D402" s="71"/>
      <x:c r="E402" s="41" t="str">
        <x:f>IF(D402="","",D402+273.15)</x:f>
      </x:c>
      <x:c r="F402" s="44" t="str">
        <x:f>IF(OR(C402="",D402="",C401=""),"",(C402-C401)/60)</x:f>
      </x:c>
      <x:c r="G402" s="44" t="str">
        <x:f>IF(D402="","",EXP(-Configuracion!$B$4/Configuracion!$B$5*(1/AVERAGE(E401:E402)-1/(Configuracion!$B$3+273.15))))</x:f>
      </x:c>
      <x:c r="H402" s="44" t="str">
        <x:f>IF(D402="","",F402*G402)</x:f>
      </x:c>
      <x:c r="I402" s="44" t="str">
        <x:f>IF(D402="","",I401+H402)</x:f>
      </x:c>
      <x:c r="J402" s="46" t="str">
        <x:f>IF(D402="","",MIN(1,I402/Configuracion!$B$11))</x:f>
      </x:c>
      <x:c r="K402" s="48" t="str">
        <x:f>IF(D402="","",MAX(0,(Configuracion!$B$11-I402)/G402))</x:f>
      </x:c>
      <x:c r="L402" s="73" t="str">
        <x:f>IF(D402="","",C402+K402*60)</x:f>
      </x:c>
      <x:c r="M402" t="str">
        <x:f>IF(D402="","",IF(J402&gt;=Configuracion!$B$13,"DESLIZAR",IF(J402&gt;=Configuracion!$B$12,"PREPARARSE","NO DESLIZAR")))</x:f>
      </x:c>
      <x:c r="N402" s="41" t="str">
        <x:f>IF(D402="","",D402-$D$8)</x:f>
      </x:c>
      <x:c r="O402" s="46" t="str">
        <x:f>IF(D402="","",MAX(0,MIN(1,N402/Configuracion!$B$10)))</x:f>
      </x:c>
    </x:row>
    <x:row r="403">
      <x:c r="A403" s="34"/>
      <x:c r="B403" s="36"/>
      <x:c r="C403" s="72"/>
      <x:c r="D403" s="71"/>
      <x:c r="E403" s="41" t="str">
        <x:f>IF(D403="","",D403+273.15)</x:f>
      </x:c>
      <x:c r="F403" s="44" t="str">
        <x:f>IF(OR(C403="",D403="",C402=""),"",(C403-C402)/60)</x:f>
      </x:c>
      <x:c r="G403" s="44" t="str">
        <x:f>IF(D403="","",EXP(-Configuracion!$B$4/Configuracion!$B$5*(1/AVERAGE(E402:E403)-1/(Configuracion!$B$3+273.15))))</x:f>
      </x:c>
      <x:c r="H403" s="44" t="str">
        <x:f>IF(D403="","",F403*G403)</x:f>
      </x:c>
      <x:c r="I403" s="44" t="str">
        <x:f>IF(D403="","",I402+H403)</x:f>
      </x:c>
      <x:c r="J403" s="46" t="str">
        <x:f>IF(D403="","",MIN(1,I403/Configuracion!$B$11))</x:f>
      </x:c>
      <x:c r="K403" s="48" t="str">
        <x:f>IF(D403="","",MAX(0,(Configuracion!$B$11-I403)/G403))</x:f>
      </x:c>
      <x:c r="L403" s="73" t="str">
        <x:f>IF(D403="","",C403+K403*60)</x:f>
      </x:c>
      <x:c r="M403" t="str">
        <x:f>IF(D403="","",IF(J403&gt;=Configuracion!$B$13,"DESLIZAR",IF(J403&gt;=Configuracion!$B$12,"PREPARARSE","NO DESLIZAR")))</x:f>
      </x:c>
      <x:c r="N403" s="41" t="str">
        <x:f>IF(D403="","",D403-$D$8)</x:f>
      </x:c>
      <x:c r="O403" s="46" t="str">
        <x:f>IF(D403="","",MAX(0,MIN(1,N403/Configuracion!$B$10)))</x:f>
      </x:c>
    </x:row>
    <x:row r="404">
      <x:c r="A404" s="34"/>
      <x:c r="B404" s="36"/>
      <x:c r="C404" s="72"/>
      <x:c r="D404" s="71"/>
      <x:c r="E404" s="41" t="str">
        <x:f>IF(D404="","",D404+273.15)</x:f>
      </x:c>
      <x:c r="F404" s="44" t="str">
        <x:f>IF(OR(C404="",D404="",C403=""),"",(C404-C403)/60)</x:f>
      </x:c>
      <x:c r="G404" s="44" t="str">
        <x:f>IF(D404="","",EXP(-Configuracion!$B$4/Configuracion!$B$5*(1/AVERAGE(E403:E404)-1/(Configuracion!$B$3+273.15))))</x:f>
      </x:c>
      <x:c r="H404" s="44" t="str">
        <x:f>IF(D404="","",F404*G404)</x:f>
      </x:c>
      <x:c r="I404" s="44" t="str">
        <x:f>IF(D404="","",I403+H404)</x:f>
      </x:c>
      <x:c r="J404" s="46" t="str">
        <x:f>IF(D404="","",MIN(1,I404/Configuracion!$B$11))</x:f>
      </x:c>
      <x:c r="K404" s="48" t="str">
        <x:f>IF(D404="","",MAX(0,(Configuracion!$B$11-I404)/G404))</x:f>
      </x:c>
      <x:c r="L404" s="73" t="str">
        <x:f>IF(D404="","",C404+K404*60)</x:f>
      </x:c>
      <x:c r="M404" t="str">
        <x:f>IF(D404="","",IF(J404&gt;=Configuracion!$B$13,"DESLIZAR",IF(J404&gt;=Configuracion!$B$12,"PREPARARSE","NO DESLIZAR")))</x:f>
      </x:c>
      <x:c r="N404" s="41" t="str">
        <x:f>IF(D404="","",D404-$D$8)</x:f>
      </x:c>
      <x:c r="O404" s="46" t="str">
        <x:f>IF(D404="","",MAX(0,MIN(1,N404/Configuracion!$B$10)))</x:f>
      </x:c>
    </x:row>
    <x:row r="405">
      <x:c r="A405" s="34"/>
      <x:c r="B405" s="36"/>
      <x:c r="C405" s="72"/>
      <x:c r="D405" s="71"/>
      <x:c r="E405" s="41" t="str">
        <x:f>IF(D405="","",D405+273.15)</x:f>
      </x:c>
      <x:c r="F405" s="44" t="str">
        <x:f>IF(OR(C405="",D405="",C404=""),"",(C405-C404)/60)</x:f>
      </x:c>
      <x:c r="G405" s="44" t="str">
        <x:f>IF(D405="","",EXP(-Configuracion!$B$4/Configuracion!$B$5*(1/AVERAGE(E404:E405)-1/(Configuracion!$B$3+273.15))))</x:f>
      </x:c>
      <x:c r="H405" s="44" t="str">
        <x:f>IF(D405="","",F405*G405)</x:f>
      </x:c>
      <x:c r="I405" s="44" t="str">
        <x:f>IF(D405="","",I404+H405)</x:f>
      </x:c>
      <x:c r="J405" s="46" t="str">
        <x:f>IF(D405="","",MIN(1,I405/Configuracion!$B$11))</x:f>
      </x:c>
      <x:c r="K405" s="48" t="str">
        <x:f>IF(D405="","",MAX(0,(Configuracion!$B$11-I405)/G405))</x:f>
      </x:c>
      <x:c r="L405" s="73" t="str">
        <x:f>IF(D405="","",C405+K405*60)</x:f>
      </x:c>
      <x:c r="M405" t="str">
        <x:f>IF(D405="","",IF(J405&gt;=Configuracion!$B$13,"DESLIZAR",IF(J405&gt;=Configuracion!$B$12,"PREPARARSE","NO DESLIZAR")))</x:f>
      </x:c>
      <x:c r="N405" s="41" t="str">
        <x:f>IF(D405="","",D405-$D$8)</x:f>
      </x:c>
      <x:c r="O405" s="46" t="str">
        <x:f>IF(D405="","",MAX(0,MIN(1,N405/Configuracion!$B$10)))</x:f>
      </x:c>
    </x:row>
    <x:row r="406">
      <x:c r="A406" s="34"/>
      <x:c r="B406" s="36"/>
      <x:c r="C406" s="72"/>
      <x:c r="D406" s="71"/>
      <x:c r="E406" s="41" t="str">
        <x:f>IF(D406="","",D406+273.15)</x:f>
      </x:c>
      <x:c r="F406" s="44" t="str">
        <x:f>IF(OR(C406="",D406="",C405=""),"",(C406-C405)/60)</x:f>
      </x:c>
      <x:c r="G406" s="44" t="str">
        <x:f>IF(D406="","",EXP(-Configuracion!$B$4/Configuracion!$B$5*(1/AVERAGE(E405:E406)-1/(Configuracion!$B$3+273.15))))</x:f>
      </x:c>
      <x:c r="H406" s="44" t="str">
        <x:f>IF(D406="","",F406*G406)</x:f>
      </x:c>
      <x:c r="I406" s="44" t="str">
        <x:f>IF(D406="","",I405+H406)</x:f>
      </x:c>
      <x:c r="J406" s="46" t="str">
        <x:f>IF(D406="","",MIN(1,I406/Configuracion!$B$11))</x:f>
      </x:c>
      <x:c r="K406" s="48" t="str">
        <x:f>IF(D406="","",MAX(0,(Configuracion!$B$11-I406)/G406))</x:f>
      </x:c>
      <x:c r="L406" s="73" t="str">
        <x:f>IF(D406="","",C406+K406*60)</x:f>
      </x:c>
      <x:c r="M406" t="str">
        <x:f>IF(D406="","",IF(J406&gt;=Configuracion!$B$13,"DESLIZAR",IF(J406&gt;=Configuracion!$B$12,"PREPARARSE","NO DESLIZAR")))</x:f>
      </x:c>
      <x:c r="N406" s="41" t="str">
        <x:f>IF(D406="","",D406-$D$8)</x:f>
      </x:c>
      <x:c r="O406" s="46" t="str">
        <x:f>IF(D406="","",MAX(0,MIN(1,N406/Configuracion!$B$10)))</x:f>
      </x:c>
    </x:row>
    <x:row r="407">
      <x:c r="A407" s="34"/>
      <x:c r="B407" s="36"/>
      <x:c r="C407" s="72"/>
      <x:c r="D407" s="71"/>
      <x:c r="E407" s="41" t="str">
        <x:f>IF(D407="","",D407+273.15)</x:f>
      </x:c>
      <x:c r="F407" s="44" t="str">
        <x:f>IF(OR(C407="",D407="",C406=""),"",(C407-C406)/60)</x:f>
      </x:c>
      <x:c r="G407" s="44" t="str">
        <x:f>IF(D407="","",EXP(-Configuracion!$B$4/Configuracion!$B$5*(1/AVERAGE(E406:E407)-1/(Configuracion!$B$3+273.15))))</x:f>
      </x:c>
      <x:c r="H407" s="44" t="str">
        <x:f>IF(D407="","",F407*G407)</x:f>
      </x:c>
      <x:c r="I407" s="44" t="str">
        <x:f>IF(D407="","",I406+H407)</x:f>
      </x:c>
      <x:c r="J407" s="46" t="str">
        <x:f>IF(D407="","",MIN(1,I407/Configuracion!$B$11))</x:f>
      </x:c>
      <x:c r="K407" s="48" t="str">
        <x:f>IF(D407="","",MAX(0,(Configuracion!$B$11-I407)/G407))</x:f>
      </x:c>
      <x:c r="L407" s="73" t="str">
        <x:f>IF(D407="","",C407+K407*60)</x:f>
      </x:c>
      <x:c r="M407" t="str">
        <x:f>IF(D407="","",IF(J407&gt;=Configuracion!$B$13,"DESLIZAR",IF(J407&gt;=Configuracion!$B$12,"PREPARARSE","NO DESLIZAR")))</x:f>
      </x:c>
      <x:c r="N407" s="41" t="str">
        <x:f>IF(D407="","",D407-$D$8)</x:f>
      </x:c>
      <x:c r="O407" s="46" t="str">
        <x:f>IF(D407="","",MAX(0,MIN(1,N407/Configuracion!$B$10)))</x:f>
      </x:c>
    </x:row>
    <x:row r="408">
      <x:c r="A408" s="34"/>
      <x:c r="B408" s="36"/>
      <x:c r="C408" s="72"/>
      <x:c r="D408" s="71"/>
      <x:c r="E408" s="41" t="str">
        <x:f>IF(D408="","",D408+273.15)</x:f>
      </x:c>
      <x:c r="F408" s="44" t="str">
        <x:f>IF(OR(C408="",D408="",C407=""),"",(C408-C407)/60)</x:f>
      </x:c>
      <x:c r="G408" s="44" t="str">
        <x:f>IF(D408="","",EXP(-Configuracion!$B$4/Configuracion!$B$5*(1/AVERAGE(E407:E408)-1/(Configuracion!$B$3+273.15))))</x:f>
      </x:c>
      <x:c r="H408" s="44" t="str">
        <x:f>IF(D408="","",F408*G408)</x:f>
      </x:c>
      <x:c r="I408" s="44" t="str">
        <x:f>IF(D408="","",I407+H408)</x:f>
      </x:c>
      <x:c r="J408" s="46" t="str">
        <x:f>IF(D408="","",MIN(1,I408/Configuracion!$B$11))</x:f>
      </x:c>
      <x:c r="K408" s="48" t="str">
        <x:f>IF(D408="","",MAX(0,(Configuracion!$B$11-I408)/G408))</x:f>
      </x:c>
      <x:c r="L408" s="73" t="str">
        <x:f>IF(D408="","",C408+K408*60)</x:f>
      </x:c>
      <x:c r="M408" t="str">
        <x:f>IF(D408="","",IF(J408&gt;=Configuracion!$B$13,"DESLIZAR",IF(J408&gt;=Configuracion!$B$12,"PREPARARSE","NO DESLIZAR")))</x:f>
      </x:c>
      <x:c r="N408" s="41" t="str">
        <x:f>IF(D408="","",D408-$D$8)</x:f>
      </x:c>
      <x:c r="O408" s="46" t="str">
        <x:f>IF(D408="","",MAX(0,MIN(1,N408/Configuracion!$B$10)))</x:f>
      </x:c>
    </x:row>
    <x:row r="409">
      <x:c r="A409" s="34"/>
      <x:c r="B409" s="36"/>
      <x:c r="C409" s="72"/>
      <x:c r="D409" s="71"/>
      <x:c r="E409" s="41" t="str">
        <x:f>IF(D409="","",D409+273.15)</x:f>
      </x:c>
      <x:c r="F409" s="44" t="str">
        <x:f>IF(OR(C409="",D409="",C408=""),"",(C409-C408)/60)</x:f>
      </x:c>
      <x:c r="G409" s="44" t="str">
        <x:f>IF(D409="","",EXP(-Configuracion!$B$4/Configuracion!$B$5*(1/AVERAGE(E408:E409)-1/(Configuracion!$B$3+273.15))))</x:f>
      </x:c>
      <x:c r="H409" s="44" t="str">
        <x:f>IF(D409="","",F409*G409)</x:f>
      </x:c>
      <x:c r="I409" s="44" t="str">
        <x:f>IF(D409="","",I408+H409)</x:f>
      </x:c>
      <x:c r="J409" s="46" t="str">
        <x:f>IF(D409="","",MIN(1,I409/Configuracion!$B$11))</x:f>
      </x:c>
      <x:c r="K409" s="48" t="str">
        <x:f>IF(D409="","",MAX(0,(Configuracion!$B$11-I409)/G409))</x:f>
      </x:c>
      <x:c r="L409" s="73" t="str">
        <x:f>IF(D409="","",C409+K409*60)</x:f>
      </x:c>
      <x:c r="M409" t="str">
        <x:f>IF(D409="","",IF(J409&gt;=Configuracion!$B$13,"DESLIZAR",IF(J409&gt;=Configuracion!$B$12,"PREPARARSE","NO DESLIZAR")))</x:f>
      </x:c>
      <x:c r="N409" s="41" t="str">
        <x:f>IF(D409="","",D409-$D$8)</x:f>
      </x:c>
      <x:c r="O409" s="46" t="str">
        <x:f>IF(D409="","",MAX(0,MIN(1,N409/Configuracion!$B$10)))</x:f>
      </x:c>
    </x:row>
    <x:row r="410">
      <x:c r="A410" s="34"/>
      <x:c r="B410" s="36"/>
      <x:c r="C410" s="72"/>
      <x:c r="D410" s="71"/>
      <x:c r="E410" s="41" t="str">
        <x:f>IF(D410="","",D410+273.15)</x:f>
      </x:c>
      <x:c r="F410" s="44" t="str">
        <x:f>IF(OR(C410="",D410="",C409=""),"",(C410-C409)/60)</x:f>
      </x:c>
      <x:c r="G410" s="44" t="str">
        <x:f>IF(D410="","",EXP(-Configuracion!$B$4/Configuracion!$B$5*(1/AVERAGE(E409:E410)-1/(Configuracion!$B$3+273.15))))</x:f>
      </x:c>
      <x:c r="H410" s="44" t="str">
        <x:f>IF(D410="","",F410*G410)</x:f>
      </x:c>
      <x:c r="I410" s="44" t="str">
        <x:f>IF(D410="","",I409+H410)</x:f>
      </x:c>
      <x:c r="J410" s="46" t="str">
        <x:f>IF(D410="","",MIN(1,I410/Configuracion!$B$11))</x:f>
      </x:c>
      <x:c r="K410" s="48" t="str">
        <x:f>IF(D410="","",MAX(0,(Configuracion!$B$11-I410)/G410))</x:f>
      </x:c>
      <x:c r="L410" s="73" t="str">
        <x:f>IF(D410="","",C410+K410*60)</x:f>
      </x:c>
      <x:c r="M410" t="str">
        <x:f>IF(D410="","",IF(J410&gt;=Configuracion!$B$13,"DESLIZAR",IF(J410&gt;=Configuracion!$B$12,"PREPARARSE","NO DESLIZAR")))</x:f>
      </x:c>
      <x:c r="N410" s="41" t="str">
        <x:f>IF(D410="","",D410-$D$8)</x:f>
      </x:c>
      <x:c r="O410" s="46" t="str">
        <x:f>IF(D410="","",MAX(0,MIN(1,N410/Configuracion!$B$10)))</x:f>
      </x:c>
    </x:row>
    <x:row r="411">
      <x:c r="A411" s="34"/>
      <x:c r="B411" s="36"/>
      <x:c r="C411" s="72"/>
      <x:c r="D411" s="71"/>
      <x:c r="E411" s="41" t="str">
        <x:f>IF(D411="","",D411+273.15)</x:f>
      </x:c>
      <x:c r="F411" s="44" t="str">
        <x:f>IF(OR(C411="",D411="",C410=""),"",(C411-C410)/60)</x:f>
      </x:c>
      <x:c r="G411" s="44" t="str">
        <x:f>IF(D411="","",EXP(-Configuracion!$B$4/Configuracion!$B$5*(1/AVERAGE(E410:E411)-1/(Configuracion!$B$3+273.15))))</x:f>
      </x:c>
      <x:c r="H411" s="44" t="str">
        <x:f>IF(D411="","",F411*G411)</x:f>
      </x:c>
      <x:c r="I411" s="44" t="str">
        <x:f>IF(D411="","",I410+H411)</x:f>
      </x:c>
      <x:c r="J411" s="46" t="str">
        <x:f>IF(D411="","",MIN(1,I411/Configuracion!$B$11))</x:f>
      </x:c>
      <x:c r="K411" s="48" t="str">
        <x:f>IF(D411="","",MAX(0,(Configuracion!$B$11-I411)/G411))</x:f>
      </x:c>
      <x:c r="L411" s="73" t="str">
        <x:f>IF(D411="","",C411+K411*60)</x:f>
      </x:c>
      <x:c r="M411" t="str">
        <x:f>IF(D411="","",IF(J411&gt;=Configuracion!$B$13,"DESLIZAR",IF(J411&gt;=Configuracion!$B$12,"PREPARARSE","NO DESLIZAR")))</x:f>
      </x:c>
      <x:c r="N411" s="41" t="str">
        <x:f>IF(D411="","",D411-$D$8)</x:f>
      </x:c>
      <x:c r="O411" s="46" t="str">
        <x:f>IF(D411="","",MAX(0,MIN(1,N411/Configuracion!$B$10)))</x:f>
      </x:c>
    </x:row>
    <x:row r="412">
      <x:c r="A412" s="34"/>
      <x:c r="B412" s="36"/>
      <x:c r="C412" s="72"/>
      <x:c r="D412" s="71"/>
      <x:c r="E412" s="41" t="str">
        <x:f>IF(D412="","",D412+273.15)</x:f>
      </x:c>
      <x:c r="F412" s="44" t="str">
        <x:f>IF(OR(C412="",D412="",C411=""),"",(C412-C411)/60)</x:f>
      </x:c>
      <x:c r="G412" s="44" t="str">
        <x:f>IF(D412="","",EXP(-Configuracion!$B$4/Configuracion!$B$5*(1/AVERAGE(E411:E412)-1/(Configuracion!$B$3+273.15))))</x:f>
      </x:c>
      <x:c r="H412" s="44" t="str">
        <x:f>IF(D412="","",F412*G412)</x:f>
      </x:c>
      <x:c r="I412" s="44" t="str">
        <x:f>IF(D412="","",I411+H412)</x:f>
      </x:c>
      <x:c r="J412" s="46" t="str">
        <x:f>IF(D412="","",MIN(1,I412/Configuracion!$B$11))</x:f>
      </x:c>
      <x:c r="K412" s="48" t="str">
        <x:f>IF(D412="","",MAX(0,(Configuracion!$B$11-I412)/G412))</x:f>
      </x:c>
      <x:c r="L412" s="73" t="str">
        <x:f>IF(D412="","",C412+K412*60)</x:f>
      </x:c>
      <x:c r="M412" t="str">
        <x:f>IF(D412="","",IF(J412&gt;=Configuracion!$B$13,"DESLIZAR",IF(J412&gt;=Configuracion!$B$12,"PREPARARSE","NO DESLIZAR")))</x:f>
      </x:c>
      <x:c r="N412" s="41" t="str">
        <x:f>IF(D412="","",D412-$D$8)</x:f>
      </x:c>
      <x:c r="O412" s="46" t="str">
        <x:f>IF(D412="","",MAX(0,MIN(1,N412/Configuracion!$B$10)))</x:f>
      </x:c>
    </x:row>
    <x:row r="413">
      <x:c r="A413" s="34"/>
      <x:c r="B413" s="36"/>
      <x:c r="C413" s="72"/>
      <x:c r="D413" s="71"/>
      <x:c r="E413" s="41" t="str">
        <x:f>IF(D413="","",D413+273.15)</x:f>
      </x:c>
      <x:c r="F413" s="44" t="str">
        <x:f>IF(OR(C413="",D413="",C412=""),"",(C413-C412)/60)</x:f>
      </x:c>
      <x:c r="G413" s="44" t="str">
        <x:f>IF(D413="","",EXP(-Configuracion!$B$4/Configuracion!$B$5*(1/AVERAGE(E412:E413)-1/(Configuracion!$B$3+273.15))))</x:f>
      </x:c>
      <x:c r="H413" s="44" t="str">
        <x:f>IF(D413="","",F413*G413)</x:f>
      </x:c>
      <x:c r="I413" s="44" t="str">
        <x:f>IF(D413="","",I412+H413)</x:f>
      </x:c>
      <x:c r="J413" s="46" t="str">
        <x:f>IF(D413="","",MIN(1,I413/Configuracion!$B$11))</x:f>
      </x:c>
      <x:c r="K413" s="48" t="str">
        <x:f>IF(D413="","",MAX(0,(Configuracion!$B$11-I413)/G413))</x:f>
      </x:c>
      <x:c r="L413" s="73" t="str">
        <x:f>IF(D413="","",C413+K413*60)</x:f>
      </x:c>
      <x:c r="M413" t="str">
        <x:f>IF(D413="","",IF(J413&gt;=Configuracion!$B$13,"DESLIZAR",IF(J413&gt;=Configuracion!$B$12,"PREPARARSE","NO DESLIZAR")))</x:f>
      </x:c>
      <x:c r="N413" s="41" t="str">
        <x:f>IF(D413="","",D413-$D$8)</x:f>
      </x:c>
      <x:c r="O413" s="46" t="str">
        <x:f>IF(D413="","",MAX(0,MIN(1,N413/Configuracion!$B$10)))</x:f>
      </x:c>
    </x:row>
    <x:row r="414">
      <x:c r="A414" s="34"/>
      <x:c r="B414" s="36"/>
      <x:c r="C414" s="72"/>
      <x:c r="D414" s="71"/>
      <x:c r="E414" s="41" t="str">
        <x:f>IF(D414="","",D414+273.15)</x:f>
      </x:c>
      <x:c r="F414" s="44" t="str">
        <x:f>IF(OR(C414="",D414="",C413=""),"",(C414-C413)/60)</x:f>
      </x:c>
      <x:c r="G414" s="44" t="str">
        <x:f>IF(D414="","",EXP(-Configuracion!$B$4/Configuracion!$B$5*(1/AVERAGE(E413:E414)-1/(Configuracion!$B$3+273.15))))</x:f>
      </x:c>
      <x:c r="H414" s="44" t="str">
        <x:f>IF(D414="","",F414*G414)</x:f>
      </x:c>
      <x:c r="I414" s="44" t="str">
        <x:f>IF(D414="","",I413+H414)</x:f>
      </x:c>
      <x:c r="J414" s="46" t="str">
        <x:f>IF(D414="","",MIN(1,I414/Configuracion!$B$11))</x:f>
      </x:c>
      <x:c r="K414" s="48" t="str">
        <x:f>IF(D414="","",MAX(0,(Configuracion!$B$11-I414)/G414))</x:f>
      </x:c>
      <x:c r="L414" s="73" t="str">
        <x:f>IF(D414="","",C414+K414*60)</x:f>
      </x:c>
      <x:c r="M414" t="str">
        <x:f>IF(D414="","",IF(J414&gt;=Configuracion!$B$13,"DESLIZAR",IF(J414&gt;=Configuracion!$B$12,"PREPARARSE","NO DESLIZAR")))</x:f>
      </x:c>
      <x:c r="N414" s="41" t="str">
        <x:f>IF(D414="","",D414-$D$8)</x:f>
      </x:c>
      <x:c r="O414" s="46" t="str">
        <x:f>IF(D414="","",MAX(0,MIN(1,N414/Configuracion!$B$10)))</x:f>
      </x:c>
    </x:row>
    <x:row r="415">
      <x:c r="A415" s="34"/>
      <x:c r="B415" s="36"/>
      <x:c r="C415" s="72"/>
      <x:c r="D415" s="71"/>
      <x:c r="E415" s="41" t="str">
        <x:f>IF(D415="","",D415+273.15)</x:f>
      </x:c>
      <x:c r="F415" s="44" t="str">
        <x:f>IF(OR(C415="",D415="",C414=""),"",(C415-C414)/60)</x:f>
      </x:c>
      <x:c r="G415" s="44" t="str">
        <x:f>IF(D415="","",EXP(-Configuracion!$B$4/Configuracion!$B$5*(1/AVERAGE(E414:E415)-1/(Configuracion!$B$3+273.15))))</x:f>
      </x:c>
      <x:c r="H415" s="44" t="str">
        <x:f>IF(D415="","",F415*G415)</x:f>
      </x:c>
      <x:c r="I415" s="44" t="str">
        <x:f>IF(D415="","",I414+H415)</x:f>
      </x:c>
      <x:c r="J415" s="46" t="str">
        <x:f>IF(D415="","",MIN(1,I415/Configuracion!$B$11))</x:f>
      </x:c>
      <x:c r="K415" s="48" t="str">
        <x:f>IF(D415="","",MAX(0,(Configuracion!$B$11-I415)/G415))</x:f>
      </x:c>
      <x:c r="L415" s="73" t="str">
        <x:f>IF(D415="","",C415+K415*60)</x:f>
      </x:c>
      <x:c r="M415" t="str">
        <x:f>IF(D415="","",IF(J415&gt;=Configuracion!$B$13,"DESLIZAR",IF(J415&gt;=Configuracion!$B$12,"PREPARARSE","NO DESLIZAR")))</x:f>
      </x:c>
      <x:c r="N415" s="41" t="str">
        <x:f>IF(D415="","",D415-$D$8)</x:f>
      </x:c>
      <x:c r="O415" s="46" t="str">
        <x:f>IF(D415="","",MAX(0,MIN(1,N415/Configuracion!$B$10)))</x:f>
      </x:c>
    </x:row>
    <x:row r="416">
      <x:c r="A416" s="34"/>
      <x:c r="B416" s="36"/>
      <x:c r="C416" s="72"/>
      <x:c r="D416" s="71"/>
      <x:c r="E416" s="41" t="str">
        <x:f>IF(D416="","",D416+273.15)</x:f>
      </x:c>
      <x:c r="F416" s="44" t="str">
        <x:f>IF(OR(C416="",D416="",C415=""),"",(C416-C415)/60)</x:f>
      </x:c>
      <x:c r="G416" s="44" t="str">
        <x:f>IF(D416="","",EXP(-Configuracion!$B$4/Configuracion!$B$5*(1/AVERAGE(E415:E416)-1/(Configuracion!$B$3+273.15))))</x:f>
      </x:c>
      <x:c r="H416" s="44" t="str">
        <x:f>IF(D416="","",F416*G416)</x:f>
      </x:c>
      <x:c r="I416" s="44" t="str">
        <x:f>IF(D416="","",I415+H416)</x:f>
      </x:c>
      <x:c r="J416" s="46" t="str">
        <x:f>IF(D416="","",MIN(1,I416/Configuracion!$B$11))</x:f>
      </x:c>
      <x:c r="K416" s="48" t="str">
        <x:f>IF(D416="","",MAX(0,(Configuracion!$B$11-I416)/G416))</x:f>
      </x:c>
      <x:c r="L416" s="73" t="str">
        <x:f>IF(D416="","",C416+K416*60)</x:f>
      </x:c>
      <x:c r="M416" t="str">
        <x:f>IF(D416="","",IF(J416&gt;=Configuracion!$B$13,"DESLIZAR",IF(J416&gt;=Configuracion!$B$12,"PREPARARSE","NO DESLIZAR")))</x:f>
      </x:c>
      <x:c r="N416" s="41" t="str">
        <x:f>IF(D416="","",D416-$D$8)</x:f>
      </x:c>
      <x:c r="O416" s="46" t="str">
        <x:f>IF(D416="","",MAX(0,MIN(1,N416/Configuracion!$B$10)))</x:f>
      </x:c>
    </x:row>
    <x:row r="417">
      <x:c r="A417" s="34"/>
      <x:c r="B417" s="36"/>
      <x:c r="C417" s="72"/>
      <x:c r="D417" s="71"/>
      <x:c r="E417" s="41" t="str">
        <x:f>IF(D417="","",D417+273.15)</x:f>
      </x:c>
      <x:c r="F417" s="44" t="str">
        <x:f>IF(OR(C417="",D417="",C416=""),"",(C417-C416)/60)</x:f>
      </x:c>
      <x:c r="G417" s="44" t="str">
        <x:f>IF(D417="","",EXP(-Configuracion!$B$4/Configuracion!$B$5*(1/AVERAGE(E416:E417)-1/(Configuracion!$B$3+273.15))))</x:f>
      </x:c>
      <x:c r="H417" s="44" t="str">
        <x:f>IF(D417="","",F417*G417)</x:f>
      </x:c>
      <x:c r="I417" s="44" t="str">
        <x:f>IF(D417="","",I416+H417)</x:f>
      </x:c>
      <x:c r="J417" s="46" t="str">
        <x:f>IF(D417="","",MIN(1,I417/Configuracion!$B$11))</x:f>
      </x:c>
      <x:c r="K417" s="48" t="str">
        <x:f>IF(D417="","",MAX(0,(Configuracion!$B$11-I417)/G417))</x:f>
      </x:c>
      <x:c r="L417" s="73" t="str">
        <x:f>IF(D417="","",C417+K417*60)</x:f>
      </x:c>
      <x:c r="M417" t="str">
        <x:f>IF(D417="","",IF(J417&gt;=Configuracion!$B$13,"DESLIZAR",IF(J417&gt;=Configuracion!$B$12,"PREPARARSE","NO DESLIZAR")))</x:f>
      </x:c>
      <x:c r="N417" s="41" t="str">
        <x:f>IF(D417="","",D417-$D$8)</x:f>
      </x:c>
      <x:c r="O417" s="46" t="str">
        <x:f>IF(D417="","",MAX(0,MIN(1,N417/Configuracion!$B$10)))</x:f>
      </x:c>
    </x:row>
    <x:row r="418">
      <x:c r="A418" s="34"/>
      <x:c r="B418" s="36"/>
      <x:c r="C418" s="72"/>
      <x:c r="D418" s="71"/>
      <x:c r="E418" s="41" t="str">
        <x:f>IF(D418="","",D418+273.15)</x:f>
      </x:c>
      <x:c r="F418" s="44" t="str">
        <x:f>IF(OR(C418="",D418="",C417=""),"",(C418-C417)/60)</x:f>
      </x:c>
      <x:c r="G418" s="44" t="str">
        <x:f>IF(D418="","",EXP(-Configuracion!$B$4/Configuracion!$B$5*(1/AVERAGE(E417:E418)-1/(Configuracion!$B$3+273.15))))</x:f>
      </x:c>
      <x:c r="H418" s="44" t="str">
        <x:f>IF(D418="","",F418*G418)</x:f>
      </x:c>
      <x:c r="I418" s="44" t="str">
        <x:f>IF(D418="","",I417+H418)</x:f>
      </x:c>
      <x:c r="J418" s="46" t="str">
        <x:f>IF(D418="","",MIN(1,I418/Configuracion!$B$11))</x:f>
      </x:c>
      <x:c r="K418" s="48" t="str">
        <x:f>IF(D418="","",MAX(0,(Configuracion!$B$11-I418)/G418))</x:f>
      </x:c>
      <x:c r="L418" s="73" t="str">
        <x:f>IF(D418="","",C418+K418*60)</x:f>
      </x:c>
      <x:c r="M418" t="str">
        <x:f>IF(D418="","",IF(J418&gt;=Configuracion!$B$13,"DESLIZAR",IF(J418&gt;=Configuracion!$B$12,"PREPARARSE","NO DESLIZAR")))</x:f>
      </x:c>
      <x:c r="N418" s="41" t="str">
        <x:f>IF(D418="","",D418-$D$8)</x:f>
      </x:c>
      <x:c r="O418" s="46" t="str">
        <x:f>IF(D418="","",MAX(0,MIN(1,N418/Configuracion!$B$10)))</x:f>
      </x:c>
    </x:row>
    <x:row r="419">
      <x:c r="A419" s="34"/>
      <x:c r="B419" s="36"/>
      <x:c r="C419" s="72"/>
      <x:c r="D419" s="71"/>
      <x:c r="E419" s="41" t="str">
        <x:f>IF(D419="","",D419+273.15)</x:f>
      </x:c>
      <x:c r="F419" s="44" t="str">
        <x:f>IF(OR(C419="",D419="",C418=""),"",(C419-C418)/60)</x:f>
      </x:c>
      <x:c r="G419" s="44" t="str">
        <x:f>IF(D419="","",EXP(-Configuracion!$B$4/Configuracion!$B$5*(1/AVERAGE(E418:E419)-1/(Configuracion!$B$3+273.15))))</x:f>
      </x:c>
      <x:c r="H419" s="44" t="str">
        <x:f>IF(D419="","",F419*G419)</x:f>
      </x:c>
      <x:c r="I419" s="44" t="str">
        <x:f>IF(D419="","",I418+H419)</x:f>
      </x:c>
      <x:c r="J419" s="46" t="str">
        <x:f>IF(D419="","",MIN(1,I419/Configuracion!$B$11))</x:f>
      </x:c>
      <x:c r="K419" s="48" t="str">
        <x:f>IF(D419="","",MAX(0,(Configuracion!$B$11-I419)/G419))</x:f>
      </x:c>
      <x:c r="L419" s="73" t="str">
        <x:f>IF(D419="","",C419+K419*60)</x:f>
      </x:c>
      <x:c r="M419" t="str">
        <x:f>IF(D419="","",IF(J419&gt;=Configuracion!$B$13,"DESLIZAR",IF(J419&gt;=Configuracion!$B$12,"PREPARARSE","NO DESLIZAR")))</x:f>
      </x:c>
      <x:c r="N419" s="41" t="str">
        <x:f>IF(D419="","",D419-$D$8)</x:f>
      </x:c>
      <x:c r="O419" s="46" t="str">
        <x:f>IF(D419="","",MAX(0,MIN(1,N419/Configuracion!$B$10)))</x:f>
      </x:c>
    </x:row>
    <x:row r="420">
      <x:c r="A420" s="34"/>
      <x:c r="B420" s="36"/>
      <x:c r="C420" s="72"/>
      <x:c r="D420" s="71"/>
      <x:c r="E420" s="41" t="str">
        <x:f>IF(D420="","",D420+273.15)</x:f>
      </x:c>
      <x:c r="F420" s="44" t="str">
        <x:f>IF(OR(C420="",D420="",C419=""),"",(C420-C419)/60)</x:f>
      </x:c>
      <x:c r="G420" s="44" t="str">
        <x:f>IF(D420="","",EXP(-Configuracion!$B$4/Configuracion!$B$5*(1/AVERAGE(E419:E420)-1/(Configuracion!$B$3+273.15))))</x:f>
      </x:c>
      <x:c r="H420" s="44" t="str">
        <x:f>IF(D420="","",F420*G420)</x:f>
      </x:c>
      <x:c r="I420" s="44" t="str">
        <x:f>IF(D420="","",I419+H420)</x:f>
      </x:c>
      <x:c r="J420" s="46" t="str">
        <x:f>IF(D420="","",MIN(1,I420/Configuracion!$B$11))</x:f>
      </x:c>
      <x:c r="K420" s="48" t="str">
        <x:f>IF(D420="","",MAX(0,(Configuracion!$B$11-I420)/G420))</x:f>
      </x:c>
      <x:c r="L420" s="73" t="str">
        <x:f>IF(D420="","",C420+K420*60)</x:f>
      </x:c>
      <x:c r="M420" t="str">
        <x:f>IF(D420="","",IF(J420&gt;=Configuracion!$B$13,"DESLIZAR",IF(J420&gt;=Configuracion!$B$12,"PREPARARSE","NO DESLIZAR")))</x:f>
      </x:c>
      <x:c r="N420" s="41" t="str">
        <x:f>IF(D420="","",D420-$D$8)</x:f>
      </x:c>
      <x:c r="O420" s="46" t="str">
        <x:f>IF(D420="","",MAX(0,MIN(1,N420/Configuracion!$B$10)))</x:f>
      </x:c>
    </x:row>
    <x:row r="421">
      <x:c r="A421" s="34"/>
      <x:c r="B421" s="36"/>
      <x:c r="C421" s="72"/>
      <x:c r="D421" s="71"/>
      <x:c r="E421" s="41" t="str">
        <x:f>IF(D421="","",D421+273.15)</x:f>
      </x:c>
      <x:c r="F421" s="44" t="str">
        <x:f>IF(OR(C421="",D421="",C420=""),"",(C421-C420)/60)</x:f>
      </x:c>
      <x:c r="G421" s="44" t="str">
        <x:f>IF(D421="","",EXP(-Configuracion!$B$4/Configuracion!$B$5*(1/AVERAGE(E420:E421)-1/(Configuracion!$B$3+273.15))))</x:f>
      </x:c>
      <x:c r="H421" s="44" t="str">
        <x:f>IF(D421="","",F421*G421)</x:f>
      </x:c>
      <x:c r="I421" s="44" t="str">
        <x:f>IF(D421="","",I420+H421)</x:f>
      </x:c>
      <x:c r="J421" s="46" t="str">
        <x:f>IF(D421="","",MIN(1,I421/Configuracion!$B$11))</x:f>
      </x:c>
      <x:c r="K421" s="48" t="str">
        <x:f>IF(D421="","",MAX(0,(Configuracion!$B$11-I421)/G421))</x:f>
      </x:c>
      <x:c r="L421" s="73" t="str">
        <x:f>IF(D421="","",C421+K421*60)</x:f>
      </x:c>
      <x:c r="M421" t="str">
        <x:f>IF(D421="","",IF(J421&gt;=Configuracion!$B$13,"DESLIZAR",IF(J421&gt;=Configuracion!$B$12,"PREPARARSE","NO DESLIZAR")))</x:f>
      </x:c>
      <x:c r="N421" s="41" t="str">
        <x:f>IF(D421="","",D421-$D$8)</x:f>
      </x:c>
      <x:c r="O421" s="46" t="str">
        <x:f>IF(D421="","",MAX(0,MIN(1,N421/Configuracion!$B$10)))</x:f>
      </x:c>
    </x:row>
    <x:row r="422">
      <x:c r="A422" s="34"/>
      <x:c r="B422" s="36"/>
      <x:c r="C422" s="72"/>
      <x:c r="D422" s="71"/>
      <x:c r="E422" s="41" t="str">
        <x:f>IF(D422="","",D422+273.15)</x:f>
      </x:c>
      <x:c r="F422" s="44" t="str">
        <x:f>IF(OR(C422="",D422="",C421=""),"",(C422-C421)/60)</x:f>
      </x:c>
      <x:c r="G422" s="44" t="str">
        <x:f>IF(D422="","",EXP(-Configuracion!$B$4/Configuracion!$B$5*(1/AVERAGE(E421:E422)-1/(Configuracion!$B$3+273.15))))</x:f>
      </x:c>
      <x:c r="H422" s="44" t="str">
        <x:f>IF(D422="","",F422*G422)</x:f>
      </x:c>
      <x:c r="I422" s="44" t="str">
        <x:f>IF(D422="","",I421+H422)</x:f>
      </x:c>
      <x:c r="J422" s="46" t="str">
        <x:f>IF(D422="","",MIN(1,I422/Configuracion!$B$11))</x:f>
      </x:c>
      <x:c r="K422" s="48" t="str">
        <x:f>IF(D422="","",MAX(0,(Configuracion!$B$11-I422)/G422))</x:f>
      </x:c>
      <x:c r="L422" s="73" t="str">
        <x:f>IF(D422="","",C422+K422*60)</x:f>
      </x:c>
      <x:c r="M422" t="str">
        <x:f>IF(D422="","",IF(J422&gt;=Configuracion!$B$13,"DESLIZAR",IF(J422&gt;=Configuracion!$B$12,"PREPARARSE","NO DESLIZAR")))</x:f>
      </x:c>
      <x:c r="N422" s="41" t="str">
        <x:f>IF(D422="","",D422-$D$8)</x:f>
      </x:c>
      <x:c r="O422" s="46" t="str">
        <x:f>IF(D422="","",MAX(0,MIN(1,N422/Configuracion!$B$10)))</x:f>
      </x:c>
    </x:row>
    <x:row r="423">
      <x:c r="A423" s="34"/>
      <x:c r="B423" s="36"/>
      <x:c r="C423" s="72"/>
      <x:c r="D423" s="71"/>
      <x:c r="E423" s="41" t="str">
        <x:f>IF(D423="","",D423+273.15)</x:f>
      </x:c>
      <x:c r="F423" s="44" t="str">
        <x:f>IF(OR(C423="",D423="",C422=""),"",(C423-C422)/60)</x:f>
      </x:c>
      <x:c r="G423" s="44" t="str">
        <x:f>IF(D423="","",EXP(-Configuracion!$B$4/Configuracion!$B$5*(1/AVERAGE(E422:E423)-1/(Configuracion!$B$3+273.15))))</x:f>
      </x:c>
      <x:c r="H423" s="44" t="str">
        <x:f>IF(D423="","",F423*G423)</x:f>
      </x:c>
      <x:c r="I423" s="44" t="str">
        <x:f>IF(D423="","",I422+H423)</x:f>
      </x:c>
      <x:c r="J423" s="46" t="str">
        <x:f>IF(D423="","",MIN(1,I423/Configuracion!$B$11))</x:f>
      </x:c>
      <x:c r="K423" s="48" t="str">
        <x:f>IF(D423="","",MAX(0,(Configuracion!$B$11-I423)/G423))</x:f>
      </x:c>
      <x:c r="L423" s="73" t="str">
        <x:f>IF(D423="","",C423+K423*60)</x:f>
      </x:c>
      <x:c r="M423" t="str">
        <x:f>IF(D423="","",IF(J423&gt;=Configuracion!$B$13,"DESLIZAR",IF(J423&gt;=Configuracion!$B$12,"PREPARARSE","NO DESLIZAR")))</x:f>
      </x:c>
      <x:c r="N423" s="41" t="str">
        <x:f>IF(D423="","",D423-$D$8)</x:f>
      </x:c>
      <x:c r="O423" s="46" t="str">
        <x:f>IF(D423="","",MAX(0,MIN(1,N423/Configuracion!$B$10)))</x:f>
      </x:c>
    </x:row>
    <x:row r="424">
      <x:c r="A424" s="34"/>
      <x:c r="B424" s="36"/>
      <x:c r="C424" s="72"/>
      <x:c r="D424" s="71"/>
      <x:c r="E424" s="41" t="str">
        <x:f>IF(D424="","",D424+273.15)</x:f>
      </x:c>
      <x:c r="F424" s="44" t="str">
        <x:f>IF(OR(C424="",D424="",C423=""),"",(C424-C423)/60)</x:f>
      </x:c>
      <x:c r="G424" s="44" t="str">
        <x:f>IF(D424="","",EXP(-Configuracion!$B$4/Configuracion!$B$5*(1/AVERAGE(E423:E424)-1/(Configuracion!$B$3+273.15))))</x:f>
      </x:c>
      <x:c r="H424" s="44" t="str">
        <x:f>IF(D424="","",F424*G424)</x:f>
      </x:c>
      <x:c r="I424" s="44" t="str">
        <x:f>IF(D424="","",I423+H424)</x:f>
      </x:c>
      <x:c r="J424" s="46" t="str">
        <x:f>IF(D424="","",MIN(1,I424/Configuracion!$B$11))</x:f>
      </x:c>
      <x:c r="K424" s="48" t="str">
        <x:f>IF(D424="","",MAX(0,(Configuracion!$B$11-I424)/G424))</x:f>
      </x:c>
      <x:c r="L424" s="73" t="str">
        <x:f>IF(D424="","",C424+K424*60)</x:f>
      </x:c>
      <x:c r="M424" t="str">
        <x:f>IF(D424="","",IF(J424&gt;=Configuracion!$B$13,"DESLIZAR",IF(J424&gt;=Configuracion!$B$12,"PREPARARSE","NO DESLIZAR")))</x:f>
      </x:c>
      <x:c r="N424" s="41" t="str">
        <x:f>IF(D424="","",D424-$D$8)</x:f>
      </x:c>
      <x:c r="O424" s="46" t="str">
        <x:f>IF(D424="","",MAX(0,MIN(1,N424/Configuracion!$B$10)))</x:f>
      </x:c>
    </x:row>
    <x:row r="425">
      <x:c r="A425" s="34"/>
      <x:c r="B425" s="36"/>
      <x:c r="C425" s="72"/>
      <x:c r="D425" s="71"/>
      <x:c r="E425" s="41" t="str">
        <x:f>IF(D425="","",D425+273.15)</x:f>
      </x:c>
      <x:c r="F425" s="44" t="str">
        <x:f>IF(OR(C425="",D425="",C424=""),"",(C425-C424)/60)</x:f>
      </x:c>
      <x:c r="G425" s="44" t="str">
        <x:f>IF(D425="","",EXP(-Configuracion!$B$4/Configuracion!$B$5*(1/AVERAGE(E424:E425)-1/(Configuracion!$B$3+273.15))))</x:f>
      </x:c>
      <x:c r="H425" s="44" t="str">
        <x:f>IF(D425="","",F425*G425)</x:f>
      </x:c>
      <x:c r="I425" s="44" t="str">
        <x:f>IF(D425="","",I424+H425)</x:f>
      </x:c>
      <x:c r="J425" s="46" t="str">
        <x:f>IF(D425="","",MIN(1,I425/Configuracion!$B$11))</x:f>
      </x:c>
      <x:c r="K425" s="48" t="str">
        <x:f>IF(D425="","",MAX(0,(Configuracion!$B$11-I425)/G425))</x:f>
      </x:c>
      <x:c r="L425" s="73" t="str">
        <x:f>IF(D425="","",C425+K425*60)</x:f>
      </x:c>
      <x:c r="M425" t="str">
        <x:f>IF(D425="","",IF(J425&gt;=Configuracion!$B$13,"DESLIZAR",IF(J425&gt;=Configuracion!$B$12,"PREPARARSE","NO DESLIZAR")))</x:f>
      </x:c>
      <x:c r="N425" s="41" t="str">
        <x:f>IF(D425="","",D425-$D$8)</x:f>
      </x:c>
      <x:c r="O425" s="46" t="str">
        <x:f>IF(D425="","",MAX(0,MIN(1,N425/Configuracion!$B$10)))</x:f>
      </x:c>
    </x:row>
    <x:row r="426">
      <x:c r="A426" s="34"/>
      <x:c r="B426" s="36"/>
      <x:c r="C426" s="72"/>
      <x:c r="D426" s="71"/>
      <x:c r="E426" s="41" t="str">
        <x:f>IF(D426="","",D426+273.15)</x:f>
      </x:c>
      <x:c r="F426" s="44" t="str">
        <x:f>IF(OR(C426="",D426="",C425=""),"",(C426-C425)/60)</x:f>
      </x:c>
      <x:c r="G426" s="44" t="str">
        <x:f>IF(D426="","",EXP(-Configuracion!$B$4/Configuracion!$B$5*(1/AVERAGE(E425:E426)-1/(Configuracion!$B$3+273.15))))</x:f>
      </x:c>
      <x:c r="H426" s="44" t="str">
        <x:f>IF(D426="","",F426*G426)</x:f>
      </x:c>
      <x:c r="I426" s="44" t="str">
        <x:f>IF(D426="","",I425+H426)</x:f>
      </x:c>
      <x:c r="J426" s="46" t="str">
        <x:f>IF(D426="","",MIN(1,I426/Configuracion!$B$11))</x:f>
      </x:c>
      <x:c r="K426" s="48" t="str">
        <x:f>IF(D426="","",MAX(0,(Configuracion!$B$11-I426)/G426))</x:f>
      </x:c>
      <x:c r="L426" s="73" t="str">
        <x:f>IF(D426="","",C426+K426*60)</x:f>
      </x:c>
      <x:c r="M426" t="str">
        <x:f>IF(D426="","",IF(J426&gt;=Configuracion!$B$13,"DESLIZAR",IF(J426&gt;=Configuracion!$B$12,"PREPARARSE","NO DESLIZAR")))</x:f>
      </x:c>
      <x:c r="N426" s="41" t="str">
        <x:f>IF(D426="","",D426-$D$8)</x:f>
      </x:c>
      <x:c r="O426" s="46" t="str">
        <x:f>IF(D426="","",MAX(0,MIN(1,N426/Configuracion!$B$10)))</x:f>
      </x:c>
    </x:row>
    <x:row r="427">
      <x:c r="A427" s="34"/>
      <x:c r="B427" s="36"/>
      <x:c r="C427" s="72"/>
      <x:c r="D427" s="71"/>
      <x:c r="E427" s="41" t="str">
        <x:f>IF(D427="","",D427+273.15)</x:f>
      </x:c>
      <x:c r="F427" s="44" t="str">
        <x:f>IF(OR(C427="",D427="",C426=""),"",(C427-C426)/60)</x:f>
      </x:c>
      <x:c r="G427" s="44" t="str">
        <x:f>IF(D427="","",EXP(-Configuracion!$B$4/Configuracion!$B$5*(1/AVERAGE(E426:E427)-1/(Configuracion!$B$3+273.15))))</x:f>
      </x:c>
      <x:c r="H427" s="44" t="str">
        <x:f>IF(D427="","",F427*G427)</x:f>
      </x:c>
      <x:c r="I427" s="44" t="str">
        <x:f>IF(D427="","",I426+H427)</x:f>
      </x:c>
      <x:c r="J427" s="46" t="str">
        <x:f>IF(D427="","",MIN(1,I427/Configuracion!$B$11))</x:f>
      </x:c>
      <x:c r="K427" s="48" t="str">
        <x:f>IF(D427="","",MAX(0,(Configuracion!$B$11-I427)/G427))</x:f>
      </x:c>
      <x:c r="L427" s="73" t="str">
        <x:f>IF(D427="","",C427+K427*60)</x:f>
      </x:c>
      <x:c r="M427" t="str">
        <x:f>IF(D427="","",IF(J427&gt;=Configuracion!$B$13,"DESLIZAR",IF(J427&gt;=Configuracion!$B$12,"PREPARARSE","NO DESLIZAR")))</x:f>
      </x:c>
      <x:c r="N427" s="41" t="str">
        <x:f>IF(D427="","",D427-$D$8)</x:f>
      </x:c>
      <x:c r="O427" s="46" t="str">
        <x:f>IF(D427="","",MAX(0,MIN(1,N427/Configuracion!$B$10)))</x:f>
      </x:c>
    </x:row>
    <x:row r="428">
      <x:c r="A428" s="34"/>
      <x:c r="B428" s="36"/>
      <x:c r="C428" s="72"/>
      <x:c r="D428" s="71"/>
      <x:c r="E428" s="41" t="str">
        <x:f>IF(D428="","",D428+273.15)</x:f>
      </x:c>
      <x:c r="F428" s="44" t="str">
        <x:f>IF(OR(C428="",D428="",C427=""),"",(C428-C427)/60)</x:f>
      </x:c>
      <x:c r="G428" s="44" t="str">
        <x:f>IF(D428="","",EXP(-Configuracion!$B$4/Configuracion!$B$5*(1/AVERAGE(E427:E428)-1/(Configuracion!$B$3+273.15))))</x:f>
      </x:c>
      <x:c r="H428" s="44" t="str">
        <x:f>IF(D428="","",F428*G428)</x:f>
      </x:c>
      <x:c r="I428" s="44" t="str">
        <x:f>IF(D428="","",I427+H428)</x:f>
      </x:c>
      <x:c r="J428" s="46" t="str">
        <x:f>IF(D428="","",MIN(1,I428/Configuracion!$B$11))</x:f>
      </x:c>
      <x:c r="K428" s="48" t="str">
        <x:f>IF(D428="","",MAX(0,(Configuracion!$B$11-I428)/G428))</x:f>
      </x:c>
      <x:c r="L428" s="73" t="str">
        <x:f>IF(D428="","",C428+K428*60)</x:f>
      </x:c>
      <x:c r="M428" t="str">
        <x:f>IF(D428="","",IF(J428&gt;=Configuracion!$B$13,"DESLIZAR",IF(J428&gt;=Configuracion!$B$12,"PREPARARSE","NO DESLIZAR")))</x:f>
      </x:c>
      <x:c r="N428" s="41" t="str">
        <x:f>IF(D428="","",D428-$D$8)</x:f>
      </x:c>
      <x:c r="O428" s="46" t="str">
        <x:f>IF(D428="","",MAX(0,MIN(1,N428/Configuracion!$B$10)))</x:f>
      </x:c>
    </x:row>
    <x:row r="429">
      <x:c r="A429" s="34"/>
      <x:c r="B429" s="36"/>
      <x:c r="C429" s="72"/>
      <x:c r="D429" s="71"/>
      <x:c r="E429" s="41" t="str">
        <x:f>IF(D429="","",D429+273.15)</x:f>
      </x:c>
      <x:c r="F429" s="44" t="str">
        <x:f>IF(OR(C429="",D429="",C428=""),"",(C429-C428)/60)</x:f>
      </x:c>
      <x:c r="G429" s="44" t="str">
        <x:f>IF(D429="","",EXP(-Configuracion!$B$4/Configuracion!$B$5*(1/AVERAGE(E428:E429)-1/(Configuracion!$B$3+273.15))))</x:f>
      </x:c>
      <x:c r="H429" s="44" t="str">
        <x:f>IF(D429="","",F429*G429)</x:f>
      </x:c>
      <x:c r="I429" s="44" t="str">
        <x:f>IF(D429="","",I428+H429)</x:f>
      </x:c>
      <x:c r="J429" s="46" t="str">
        <x:f>IF(D429="","",MIN(1,I429/Configuracion!$B$11))</x:f>
      </x:c>
      <x:c r="K429" s="48" t="str">
        <x:f>IF(D429="","",MAX(0,(Configuracion!$B$11-I429)/G429))</x:f>
      </x:c>
      <x:c r="L429" s="73" t="str">
        <x:f>IF(D429="","",C429+K429*60)</x:f>
      </x:c>
      <x:c r="M429" t="str">
        <x:f>IF(D429="","",IF(J429&gt;=Configuracion!$B$13,"DESLIZAR",IF(J429&gt;=Configuracion!$B$12,"PREPARARSE","NO DESLIZAR")))</x:f>
      </x:c>
      <x:c r="N429" s="41" t="str">
        <x:f>IF(D429="","",D429-$D$8)</x:f>
      </x:c>
      <x:c r="O429" s="46" t="str">
        <x:f>IF(D429="","",MAX(0,MIN(1,N429/Configuracion!$B$10)))</x:f>
      </x:c>
    </x:row>
    <x:row r="430">
      <x:c r="A430" s="34"/>
      <x:c r="B430" s="36"/>
      <x:c r="C430" s="72"/>
      <x:c r="D430" s="71"/>
      <x:c r="E430" s="41" t="str">
        <x:f>IF(D430="","",D430+273.15)</x:f>
      </x:c>
      <x:c r="F430" s="44" t="str">
        <x:f>IF(OR(C430="",D430="",C429=""),"",(C430-C429)/60)</x:f>
      </x:c>
      <x:c r="G430" s="44" t="str">
        <x:f>IF(D430="","",EXP(-Configuracion!$B$4/Configuracion!$B$5*(1/AVERAGE(E429:E430)-1/(Configuracion!$B$3+273.15))))</x:f>
      </x:c>
      <x:c r="H430" s="44" t="str">
        <x:f>IF(D430="","",F430*G430)</x:f>
      </x:c>
      <x:c r="I430" s="44" t="str">
        <x:f>IF(D430="","",I429+H430)</x:f>
      </x:c>
      <x:c r="J430" s="46" t="str">
        <x:f>IF(D430="","",MIN(1,I430/Configuracion!$B$11))</x:f>
      </x:c>
      <x:c r="K430" s="48" t="str">
        <x:f>IF(D430="","",MAX(0,(Configuracion!$B$11-I430)/G430))</x:f>
      </x:c>
      <x:c r="L430" s="73" t="str">
        <x:f>IF(D430="","",C430+K430*60)</x:f>
      </x:c>
      <x:c r="M430" t="str">
        <x:f>IF(D430="","",IF(J430&gt;=Configuracion!$B$13,"DESLIZAR",IF(J430&gt;=Configuracion!$B$12,"PREPARARSE","NO DESLIZAR")))</x:f>
      </x:c>
      <x:c r="N430" s="41" t="str">
        <x:f>IF(D430="","",D430-$D$8)</x:f>
      </x:c>
      <x:c r="O430" s="46" t="str">
        <x:f>IF(D430="","",MAX(0,MIN(1,N430/Configuracion!$B$10)))</x:f>
      </x:c>
    </x:row>
    <x:row r="431">
      <x:c r="A431" s="34"/>
      <x:c r="B431" s="36"/>
      <x:c r="C431" s="72"/>
      <x:c r="D431" s="71"/>
      <x:c r="E431" s="41" t="str">
        <x:f>IF(D431="","",D431+273.15)</x:f>
      </x:c>
      <x:c r="F431" s="44" t="str">
        <x:f>IF(OR(C431="",D431="",C430=""),"",(C431-C430)/60)</x:f>
      </x:c>
      <x:c r="G431" s="44" t="str">
        <x:f>IF(D431="","",EXP(-Configuracion!$B$4/Configuracion!$B$5*(1/AVERAGE(E430:E431)-1/(Configuracion!$B$3+273.15))))</x:f>
      </x:c>
      <x:c r="H431" s="44" t="str">
        <x:f>IF(D431="","",F431*G431)</x:f>
      </x:c>
      <x:c r="I431" s="44" t="str">
        <x:f>IF(D431="","",I430+H431)</x:f>
      </x:c>
      <x:c r="J431" s="46" t="str">
        <x:f>IF(D431="","",MIN(1,I431/Configuracion!$B$11))</x:f>
      </x:c>
      <x:c r="K431" s="48" t="str">
        <x:f>IF(D431="","",MAX(0,(Configuracion!$B$11-I431)/G431))</x:f>
      </x:c>
      <x:c r="L431" s="73" t="str">
        <x:f>IF(D431="","",C431+K431*60)</x:f>
      </x:c>
      <x:c r="M431" t="str">
        <x:f>IF(D431="","",IF(J431&gt;=Configuracion!$B$13,"DESLIZAR",IF(J431&gt;=Configuracion!$B$12,"PREPARARSE","NO DESLIZAR")))</x:f>
      </x:c>
      <x:c r="N431" s="41" t="str">
        <x:f>IF(D431="","",D431-$D$8)</x:f>
      </x:c>
      <x:c r="O431" s="46" t="str">
        <x:f>IF(D431="","",MAX(0,MIN(1,N431/Configuracion!$B$10)))</x:f>
      </x:c>
    </x:row>
    <x:row r="432">
      <x:c r="A432" s="34"/>
      <x:c r="B432" s="36"/>
      <x:c r="C432" s="72"/>
      <x:c r="D432" s="71"/>
      <x:c r="E432" s="41" t="str">
        <x:f>IF(D432="","",D432+273.15)</x:f>
      </x:c>
      <x:c r="F432" s="44" t="str">
        <x:f>IF(OR(C432="",D432="",C431=""),"",(C432-C431)/60)</x:f>
      </x:c>
      <x:c r="G432" s="44" t="str">
        <x:f>IF(D432="","",EXP(-Configuracion!$B$4/Configuracion!$B$5*(1/AVERAGE(E431:E432)-1/(Configuracion!$B$3+273.15))))</x:f>
      </x:c>
      <x:c r="H432" s="44" t="str">
        <x:f>IF(D432="","",F432*G432)</x:f>
      </x:c>
      <x:c r="I432" s="44" t="str">
        <x:f>IF(D432="","",I431+H432)</x:f>
      </x:c>
      <x:c r="J432" s="46" t="str">
        <x:f>IF(D432="","",MIN(1,I432/Configuracion!$B$11))</x:f>
      </x:c>
      <x:c r="K432" s="48" t="str">
        <x:f>IF(D432="","",MAX(0,(Configuracion!$B$11-I432)/G432))</x:f>
      </x:c>
      <x:c r="L432" s="73" t="str">
        <x:f>IF(D432="","",C432+K432*60)</x:f>
      </x:c>
      <x:c r="M432" t="str">
        <x:f>IF(D432="","",IF(J432&gt;=Configuracion!$B$13,"DESLIZAR",IF(J432&gt;=Configuracion!$B$12,"PREPARARSE","NO DESLIZAR")))</x:f>
      </x:c>
      <x:c r="N432" s="41" t="str">
        <x:f>IF(D432="","",D432-$D$8)</x:f>
      </x:c>
      <x:c r="O432" s="46" t="str">
        <x:f>IF(D432="","",MAX(0,MIN(1,N432/Configuracion!$B$10)))</x:f>
      </x:c>
    </x:row>
    <x:row r="433">
      <x:c r="A433" s="34"/>
      <x:c r="B433" s="36"/>
      <x:c r="C433" s="72"/>
      <x:c r="D433" s="71"/>
      <x:c r="E433" s="41" t="str">
        <x:f>IF(D433="","",D433+273.15)</x:f>
      </x:c>
      <x:c r="F433" s="44" t="str">
        <x:f>IF(OR(C433="",D433="",C432=""),"",(C433-C432)/60)</x:f>
      </x:c>
      <x:c r="G433" s="44" t="str">
        <x:f>IF(D433="","",EXP(-Configuracion!$B$4/Configuracion!$B$5*(1/AVERAGE(E432:E433)-1/(Configuracion!$B$3+273.15))))</x:f>
      </x:c>
      <x:c r="H433" s="44" t="str">
        <x:f>IF(D433="","",F433*G433)</x:f>
      </x:c>
      <x:c r="I433" s="44" t="str">
        <x:f>IF(D433="","",I432+H433)</x:f>
      </x:c>
      <x:c r="J433" s="46" t="str">
        <x:f>IF(D433="","",MIN(1,I433/Configuracion!$B$11))</x:f>
      </x:c>
      <x:c r="K433" s="48" t="str">
        <x:f>IF(D433="","",MAX(0,(Configuracion!$B$11-I433)/G433))</x:f>
      </x:c>
      <x:c r="L433" s="73" t="str">
        <x:f>IF(D433="","",C433+K433*60)</x:f>
      </x:c>
      <x:c r="M433" t="str">
        <x:f>IF(D433="","",IF(J433&gt;=Configuracion!$B$13,"DESLIZAR",IF(J433&gt;=Configuracion!$B$12,"PREPARARSE","NO DESLIZAR")))</x:f>
      </x:c>
      <x:c r="N433" s="41" t="str">
        <x:f>IF(D433="","",D433-$D$8)</x:f>
      </x:c>
      <x:c r="O433" s="46" t="str">
        <x:f>IF(D433="","",MAX(0,MIN(1,N433/Configuracion!$B$10)))</x:f>
      </x:c>
    </x:row>
    <x:row r="434">
      <x:c r="A434" s="34"/>
      <x:c r="B434" s="36"/>
      <x:c r="C434" s="72"/>
      <x:c r="D434" s="71"/>
      <x:c r="E434" s="41" t="str">
        <x:f>IF(D434="","",D434+273.15)</x:f>
      </x:c>
      <x:c r="F434" s="44" t="str">
        <x:f>IF(OR(C434="",D434="",C433=""),"",(C434-C433)/60)</x:f>
      </x:c>
      <x:c r="G434" s="44" t="str">
        <x:f>IF(D434="","",EXP(-Configuracion!$B$4/Configuracion!$B$5*(1/AVERAGE(E433:E434)-1/(Configuracion!$B$3+273.15))))</x:f>
      </x:c>
      <x:c r="H434" s="44" t="str">
        <x:f>IF(D434="","",F434*G434)</x:f>
      </x:c>
      <x:c r="I434" s="44" t="str">
        <x:f>IF(D434="","",I433+H434)</x:f>
      </x:c>
      <x:c r="J434" s="46" t="str">
        <x:f>IF(D434="","",MIN(1,I434/Configuracion!$B$11))</x:f>
      </x:c>
      <x:c r="K434" s="48" t="str">
        <x:f>IF(D434="","",MAX(0,(Configuracion!$B$11-I434)/G434))</x:f>
      </x:c>
      <x:c r="L434" s="73" t="str">
        <x:f>IF(D434="","",C434+K434*60)</x:f>
      </x:c>
      <x:c r="M434" t="str">
        <x:f>IF(D434="","",IF(J434&gt;=Configuracion!$B$13,"DESLIZAR",IF(J434&gt;=Configuracion!$B$12,"PREPARARSE","NO DESLIZAR")))</x:f>
      </x:c>
      <x:c r="N434" s="41" t="str">
        <x:f>IF(D434="","",D434-$D$8)</x:f>
      </x:c>
      <x:c r="O434" s="46" t="str">
        <x:f>IF(D434="","",MAX(0,MIN(1,N434/Configuracion!$B$10)))</x:f>
      </x:c>
    </x:row>
    <x:row r="435">
      <x:c r="A435" s="34"/>
      <x:c r="B435" s="36"/>
      <x:c r="C435" s="72"/>
      <x:c r="D435" s="71"/>
      <x:c r="E435" s="41" t="str">
        <x:f>IF(D435="","",D435+273.15)</x:f>
      </x:c>
      <x:c r="F435" s="44" t="str">
        <x:f>IF(OR(C435="",D435="",C434=""),"",(C435-C434)/60)</x:f>
      </x:c>
      <x:c r="G435" s="44" t="str">
        <x:f>IF(D435="","",EXP(-Configuracion!$B$4/Configuracion!$B$5*(1/AVERAGE(E434:E435)-1/(Configuracion!$B$3+273.15))))</x:f>
      </x:c>
      <x:c r="H435" s="44" t="str">
        <x:f>IF(D435="","",F435*G435)</x:f>
      </x:c>
      <x:c r="I435" s="44" t="str">
        <x:f>IF(D435="","",I434+H435)</x:f>
      </x:c>
      <x:c r="J435" s="46" t="str">
        <x:f>IF(D435="","",MIN(1,I435/Configuracion!$B$11))</x:f>
      </x:c>
      <x:c r="K435" s="48" t="str">
        <x:f>IF(D435="","",MAX(0,(Configuracion!$B$11-I435)/G435))</x:f>
      </x:c>
      <x:c r="L435" s="73" t="str">
        <x:f>IF(D435="","",C435+K435*60)</x:f>
      </x:c>
      <x:c r="M435" t="str">
        <x:f>IF(D435="","",IF(J435&gt;=Configuracion!$B$13,"DESLIZAR",IF(J435&gt;=Configuracion!$B$12,"PREPARARSE","NO DESLIZAR")))</x:f>
      </x:c>
      <x:c r="N435" s="41" t="str">
        <x:f>IF(D435="","",D435-$D$8)</x:f>
      </x:c>
      <x:c r="O435" s="46" t="str">
        <x:f>IF(D435="","",MAX(0,MIN(1,N435/Configuracion!$B$10)))</x:f>
      </x:c>
    </x:row>
    <x:row r="436">
      <x:c r="A436" s="34"/>
      <x:c r="B436" s="36"/>
      <x:c r="C436" s="72"/>
      <x:c r="D436" s="71"/>
      <x:c r="E436" s="41" t="str">
        <x:f>IF(D436="","",D436+273.15)</x:f>
      </x:c>
      <x:c r="F436" s="44" t="str">
        <x:f>IF(OR(C436="",D436="",C435=""),"",(C436-C435)/60)</x:f>
      </x:c>
      <x:c r="G436" s="44" t="str">
        <x:f>IF(D436="","",EXP(-Configuracion!$B$4/Configuracion!$B$5*(1/AVERAGE(E435:E436)-1/(Configuracion!$B$3+273.15))))</x:f>
      </x:c>
      <x:c r="H436" s="44" t="str">
        <x:f>IF(D436="","",F436*G436)</x:f>
      </x:c>
      <x:c r="I436" s="44" t="str">
        <x:f>IF(D436="","",I435+H436)</x:f>
      </x:c>
      <x:c r="J436" s="46" t="str">
        <x:f>IF(D436="","",MIN(1,I436/Configuracion!$B$11))</x:f>
      </x:c>
      <x:c r="K436" s="48" t="str">
        <x:f>IF(D436="","",MAX(0,(Configuracion!$B$11-I436)/G436))</x:f>
      </x:c>
      <x:c r="L436" s="73" t="str">
        <x:f>IF(D436="","",C436+K436*60)</x:f>
      </x:c>
      <x:c r="M436" t="str">
        <x:f>IF(D436="","",IF(J436&gt;=Configuracion!$B$13,"DESLIZAR",IF(J436&gt;=Configuracion!$B$12,"PREPARARSE","NO DESLIZAR")))</x:f>
      </x:c>
      <x:c r="N436" s="41" t="str">
        <x:f>IF(D436="","",D436-$D$8)</x:f>
      </x:c>
      <x:c r="O436" s="46" t="str">
        <x:f>IF(D436="","",MAX(0,MIN(1,N436/Configuracion!$B$10)))</x:f>
      </x:c>
    </x:row>
    <x:row r="437">
      <x:c r="A437" s="34"/>
      <x:c r="B437" s="36"/>
      <x:c r="C437" s="72"/>
      <x:c r="D437" s="71"/>
      <x:c r="E437" s="41" t="str">
        <x:f>IF(D437="","",D437+273.15)</x:f>
      </x:c>
      <x:c r="F437" s="44" t="str">
        <x:f>IF(OR(C437="",D437="",C436=""),"",(C437-C436)/60)</x:f>
      </x:c>
      <x:c r="G437" s="44" t="str">
        <x:f>IF(D437="","",EXP(-Configuracion!$B$4/Configuracion!$B$5*(1/AVERAGE(E436:E437)-1/(Configuracion!$B$3+273.15))))</x:f>
      </x:c>
      <x:c r="H437" s="44" t="str">
        <x:f>IF(D437="","",F437*G437)</x:f>
      </x:c>
      <x:c r="I437" s="44" t="str">
        <x:f>IF(D437="","",I436+H437)</x:f>
      </x:c>
      <x:c r="J437" s="46" t="str">
        <x:f>IF(D437="","",MIN(1,I437/Configuracion!$B$11))</x:f>
      </x:c>
      <x:c r="K437" s="48" t="str">
        <x:f>IF(D437="","",MAX(0,(Configuracion!$B$11-I437)/G437))</x:f>
      </x:c>
      <x:c r="L437" s="73" t="str">
        <x:f>IF(D437="","",C437+K437*60)</x:f>
      </x:c>
      <x:c r="M437" t="str">
        <x:f>IF(D437="","",IF(J437&gt;=Configuracion!$B$13,"DESLIZAR",IF(J437&gt;=Configuracion!$B$12,"PREPARARSE","NO DESLIZAR")))</x:f>
      </x:c>
      <x:c r="N437" s="41" t="str">
        <x:f>IF(D437="","",D437-$D$8)</x:f>
      </x:c>
      <x:c r="O437" s="46" t="str">
        <x:f>IF(D437="","",MAX(0,MIN(1,N437/Configuracion!$B$10)))</x:f>
      </x:c>
    </x:row>
    <x:row r="438">
      <x:c r="A438" s="34"/>
      <x:c r="B438" s="36"/>
      <x:c r="C438" s="72"/>
      <x:c r="D438" s="71"/>
      <x:c r="E438" s="41" t="str">
        <x:f>IF(D438="","",D438+273.15)</x:f>
      </x:c>
      <x:c r="F438" s="44" t="str">
        <x:f>IF(OR(C438="",D438="",C437=""),"",(C438-C437)/60)</x:f>
      </x:c>
      <x:c r="G438" s="44" t="str">
        <x:f>IF(D438="","",EXP(-Configuracion!$B$4/Configuracion!$B$5*(1/AVERAGE(E437:E438)-1/(Configuracion!$B$3+273.15))))</x:f>
      </x:c>
      <x:c r="H438" s="44" t="str">
        <x:f>IF(D438="","",F438*G438)</x:f>
      </x:c>
      <x:c r="I438" s="44" t="str">
        <x:f>IF(D438="","",I437+H438)</x:f>
      </x:c>
      <x:c r="J438" s="46" t="str">
        <x:f>IF(D438="","",MIN(1,I438/Configuracion!$B$11))</x:f>
      </x:c>
      <x:c r="K438" s="48" t="str">
        <x:f>IF(D438="","",MAX(0,(Configuracion!$B$11-I438)/G438))</x:f>
      </x:c>
      <x:c r="L438" s="73" t="str">
        <x:f>IF(D438="","",C438+K438*60)</x:f>
      </x:c>
      <x:c r="M438" t="str">
        <x:f>IF(D438="","",IF(J438&gt;=Configuracion!$B$13,"DESLIZAR",IF(J438&gt;=Configuracion!$B$12,"PREPARARSE","NO DESLIZAR")))</x:f>
      </x:c>
      <x:c r="N438" s="41" t="str">
        <x:f>IF(D438="","",D438-$D$8)</x:f>
      </x:c>
      <x:c r="O438" s="46" t="str">
        <x:f>IF(D438="","",MAX(0,MIN(1,N438/Configuracion!$B$10)))</x:f>
      </x:c>
    </x:row>
    <x:row r="439">
      <x:c r="A439" s="34"/>
      <x:c r="B439" s="36"/>
      <x:c r="C439" s="72"/>
      <x:c r="D439" s="71"/>
      <x:c r="E439" s="41" t="str">
        <x:f>IF(D439="","",D439+273.15)</x:f>
      </x:c>
      <x:c r="F439" s="44" t="str">
        <x:f>IF(OR(C439="",D439="",C438=""),"",(C439-C438)/60)</x:f>
      </x:c>
      <x:c r="G439" s="44" t="str">
        <x:f>IF(D439="","",EXP(-Configuracion!$B$4/Configuracion!$B$5*(1/AVERAGE(E438:E439)-1/(Configuracion!$B$3+273.15))))</x:f>
      </x:c>
      <x:c r="H439" s="44" t="str">
        <x:f>IF(D439="","",F439*G439)</x:f>
      </x:c>
      <x:c r="I439" s="44" t="str">
        <x:f>IF(D439="","",I438+H439)</x:f>
      </x:c>
      <x:c r="J439" s="46" t="str">
        <x:f>IF(D439="","",MIN(1,I439/Configuracion!$B$11))</x:f>
      </x:c>
      <x:c r="K439" s="48" t="str">
        <x:f>IF(D439="","",MAX(0,(Configuracion!$B$11-I439)/G439))</x:f>
      </x:c>
      <x:c r="L439" s="73" t="str">
        <x:f>IF(D439="","",C439+K439*60)</x:f>
      </x:c>
      <x:c r="M439" t="str">
        <x:f>IF(D439="","",IF(J439&gt;=Configuracion!$B$13,"DESLIZAR",IF(J439&gt;=Configuracion!$B$12,"PREPARARSE","NO DESLIZAR")))</x:f>
      </x:c>
      <x:c r="N439" s="41" t="str">
        <x:f>IF(D439="","",D439-$D$8)</x:f>
      </x:c>
      <x:c r="O439" s="46" t="str">
        <x:f>IF(D439="","",MAX(0,MIN(1,N439/Configuracion!$B$10)))</x:f>
      </x:c>
    </x:row>
    <x:row r="440">
      <x:c r="A440" s="34"/>
      <x:c r="B440" s="36"/>
      <x:c r="C440" s="72"/>
      <x:c r="D440" s="71"/>
      <x:c r="E440" s="41" t="str">
        <x:f>IF(D440="","",D440+273.15)</x:f>
      </x:c>
      <x:c r="F440" s="44" t="str">
        <x:f>IF(OR(C440="",D440="",C439=""),"",(C440-C439)/60)</x:f>
      </x:c>
      <x:c r="G440" s="44" t="str">
        <x:f>IF(D440="","",EXP(-Configuracion!$B$4/Configuracion!$B$5*(1/AVERAGE(E439:E440)-1/(Configuracion!$B$3+273.15))))</x:f>
      </x:c>
      <x:c r="H440" s="44" t="str">
        <x:f>IF(D440="","",F440*G440)</x:f>
      </x:c>
      <x:c r="I440" s="44" t="str">
        <x:f>IF(D440="","",I439+H440)</x:f>
      </x:c>
      <x:c r="J440" s="46" t="str">
        <x:f>IF(D440="","",MIN(1,I440/Configuracion!$B$11))</x:f>
      </x:c>
      <x:c r="K440" s="48" t="str">
        <x:f>IF(D440="","",MAX(0,(Configuracion!$B$11-I440)/G440))</x:f>
      </x:c>
      <x:c r="L440" s="73" t="str">
        <x:f>IF(D440="","",C440+K440*60)</x:f>
      </x:c>
      <x:c r="M440" t="str">
        <x:f>IF(D440="","",IF(J440&gt;=Configuracion!$B$13,"DESLIZAR",IF(J440&gt;=Configuracion!$B$12,"PREPARARSE","NO DESLIZAR")))</x:f>
      </x:c>
      <x:c r="N440" s="41" t="str">
        <x:f>IF(D440="","",D440-$D$8)</x:f>
      </x:c>
      <x:c r="O440" s="46" t="str">
        <x:f>IF(D440="","",MAX(0,MIN(1,N440/Configuracion!$B$10)))</x:f>
      </x:c>
    </x:row>
    <x:row r="441">
      <x:c r="A441" s="34"/>
      <x:c r="B441" s="36"/>
      <x:c r="C441" s="72"/>
      <x:c r="D441" s="71"/>
      <x:c r="E441" s="41" t="str">
        <x:f>IF(D441="","",D441+273.15)</x:f>
      </x:c>
      <x:c r="F441" s="44" t="str">
        <x:f>IF(OR(C441="",D441="",C440=""),"",(C441-C440)/60)</x:f>
      </x:c>
      <x:c r="G441" s="44" t="str">
        <x:f>IF(D441="","",EXP(-Configuracion!$B$4/Configuracion!$B$5*(1/AVERAGE(E440:E441)-1/(Configuracion!$B$3+273.15))))</x:f>
      </x:c>
      <x:c r="H441" s="44" t="str">
        <x:f>IF(D441="","",F441*G441)</x:f>
      </x:c>
      <x:c r="I441" s="44" t="str">
        <x:f>IF(D441="","",I440+H441)</x:f>
      </x:c>
      <x:c r="J441" s="46" t="str">
        <x:f>IF(D441="","",MIN(1,I441/Configuracion!$B$11))</x:f>
      </x:c>
      <x:c r="K441" s="48" t="str">
        <x:f>IF(D441="","",MAX(0,(Configuracion!$B$11-I441)/G441))</x:f>
      </x:c>
      <x:c r="L441" s="73" t="str">
        <x:f>IF(D441="","",C441+K441*60)</x:f>
      </x:c>
      <x:c r="M441" t="str">
        <x:f>IF(D441="","",IF(J441&gt;=Configuracion!$B$13,"DESLIZAR",IF(J441&gt;=Configuracion!$B$12,"PREPARARSE","NO DESLIZAR")))</x:f>
      </x:c>
      <x:c r="N441" s="41" t="str">
        <x:f>IF(D441="","",D441-$D$8)</x:f>
      </x:c>
      <x:c r="O441" s="46" t="str">
        <x:f>IF(D441="","",MAX(0,MIN(1,N441/Configuracion!$B$10)))</x:f>
      </x:c>
    </x:row>
    <x:row r="442">
      <x:c r="A442" s="34"/>
      <x:c r="B442" s="36"/>
      <x:c r="C442" s="72"/>
      <x:c r="D442" s="71"/>
      <x:c r="E442" s="41" t="str">
        <x:f>IF(D442="","",D442+273.15)</x:f>
      </x:c>
      <x:c r="F442" s="44" t="str">
        <x:f>IF(OR(C442="",D442="",C441=""),"",(C442-C441)/60)</x:f>
      </x:c>
      <x:c r="G442" s="44" t="str">
        <x:f>IF(D442="","",EXP(-Configuracion!$B$4/Configuracion!$B$5*(1/AVERAGE(E441:E442)-1/(Configuracion!$B$3+273.15))))</x:f>
      </x:c>
      <x:c r="H442" s="44" t="str">
        <x:f>IF(D442="","",F442*G442)</x:f>
      </x:c>
      <x:c r="I442" s="44" t="str">
        <x:f>IF(D442="","",I441+H442)</x:f>
      </x:c>
      <x:c r="J442" s="46" t="str">
        <x:f>IF(D442="","",MIN(1,I442/Configuracion!$B$11))</x:f>
      </x:c>
      <x:c r="K442" s="48" t="str">
        <x:f>IF(D442="","",MAX(0,(Configuracion!$B$11-I442)/G442))</x:f>
      </x:c>
      <x:c r="L442" s="73" t="str">
        <x:f>IF(D442="","",C442+K442*60)</x:f>
      </x:c>
      <x:c r="M442" t="str">
        <x:f>IF(D442="","",IF(J442&gt;=Configuracion!$B$13,"DESLIZAR",IF(J442&gt;=Configuracion!$B$12,"PREPARARSE","NO DESLIZAR")))</x:f>
      </x:c>
      <x:c r="N442" s="41" t="str">
        <x:f>IF(D442="","",D442-$D$8)</x:f>
      </x:c>
      <x:c r="O442" s="46" t="str">
        <x:f>IF(D442="","",MAX(0,MIN(1,N442/Configuracion!$B$10)))</x:f>
      </x:c>
    </x:row>
    <x:row r="443">
      <x:c r="A443" s="34"/>
      <x:c r="B443" s="36"/>
      <x:c r="C443" s="72"/>
      <x:c r="D443" s="71"/>
      <x:c r="E443" s="41" t="str">
        <x:f>IF(D443="","",D443+273.15)</x:f>
      </x:c>
      <x:c r="F443" s="44" t="str">
        <x:f>IF(OR(C443="",D443="",C442=""),"",(C443-C442)/60)</x:f>
      </x:c>
      <x:c r="G443" s="44" t="str">
        <x:f>IF(D443="","",EXP(-Configuracion!$B$4/Configuracion!$B$5*(1/AVERAGE(E442:E443)-1/(Configuracion!$B$3+273.15))))</x:f>
      </x:c>
      <x:c r="H443" s="44" t="str">
        <x:f>IF(D443="","",F443*G443)</x:f>
      </x:c>
      <x:c r="I443" s="44" t="str">
        <x:f>IF(D443="","",I442+H443)</x:f>
      </x:c>
      <x:c r="J443" s="46" t="str">
        <x:f>IF(D443="","",MIN(1,I443/Configuracion!$B$11))</x:f>
      </x:c>
      <x:c r="K443" s="48" t="str">
        <x:f>IF(D443="","",MAX(0,(Configuracion!$B$11-I443)/G443))</x:f>
      </x:c>
      <x:c r="L443" s="73" t="str">
        <x:f>IF(D443="","",C443+K443*60)</x:f>
      </x:c>
      <x:c r="M443" t="str">
        <x:f>IF(D443="","",IF(J443&gt;=Configuracion!$B$13,"DESLIZAR",IF(J443&gt;=Configuracion!$B$12,"PREPARARSE","NO DESLIZAR")))</x:f>
      </x:c>
      <x:c r="N443" s="41" t="str">
        <x:f>IF(D443="","",D443-$D$8)</x:f>
      </x:c>
      <x:c r="O443" s="46" t="str">
        <x:f>IF(D443="","",MAX(0,MIN(1,N443/Configuracion!$B$10)))</x:f>
      </x:c>
    </x:row>
    <x:row r="444">
      <x:c r="A444" s="34"/>
      <x:c r="B444" s="36"/>
      <x:c r="C444" s="72"/>
      <x:c r="D444" s="71"/>
      <x:c r="E444" s="41" t="str">
        <x:f>IF(D444="","",D444+273.15)</x:f>
      </x:c>
      <x:c r="F444" s="44" t="str">
        <x:f>IF(OR(C444="",D444="",C443=""),"",(C444-C443)/60)</x:f>
      </x:c>
      <x:c r="G444" s="44" t="str">
        <x:f>IF(D444="","",EXP(-Configuracion!$B$4/Configuracion!$B$5*(1/AVERAGE(E443:E444)-1/(Configuracion!$B$3+273.15))))</x:f>
      </x:c>
      <x:c r="H444" s="44" t="str">
        <x:f>IF(D444="","",F444*G444)</x:f>
      </x:c>
      <x:c r="I444" s="44" t="str">
        <x:f>IF(D444="","",I443+H444)</x:f>
      </x:c>
      <x:c r="J444" s="46" t="str">
        <x:f>IF(D444="","",MIN(1,I444/Configuracion!$B$11))</x:f>
      </x:c>
      <x:c r="K444" s="48" t="str">
        <x:f>IF(D444="","",MAX(0,(Configuracion!$B$11-I444)/G444))</x:f>
      </x:c>
      <x:c r="L444" s="73" t="str">
        <x:f>IF(D444="","",C444+K444*60)</x:f>
      </x:c>
      <x:c r="M444" t="str">
        <x:f>IF(D444="","",IF(J444&gt;=Configuracion!$B$13,"DESLIZAR",IF(J444&gt;=Configuracion!$B$12,"PREPARARSE","NO DESLIZAR")))</x:f>
      </x:c>
      <x:c r="N444" s="41" t="str">
        <x:f>IF(D444="","",D444-$D$8)</x:f>
      </x:c>
      <x:c r="O444" s="46" t="str">
        <x:f>IF(D444="","",MAX(0,MIN(1,N444/Configuracion!$B$10)))</x:f>
      </x:c>
    </x:row>
    <x:row r="445">
      <x:c r="A445" s="34"/>
      <x:c r="B445" s="36"/>
      <x:c r="C445" s="72"/>
      <x:c r="D445" s="71"/>
      <x:c r="E445" s="41" t="str">
        <x:f>IF(D445="","",D445+273.15)</x:f>
      </x:c>
      <x:c r="F445" s="44" t="str">
        <x:f>IF(OR(C445="",D445="",C444=""),"",(C445-C444)/60)</x:f>
      </x:c>
      <x:c r="G445" s="44" t="str">
        <x:f>IF(D445="","",EXP(-Configuracion!$B$4/Configuracion!$B$5*(1/AVERAGE(E444:E445)-1/(Configuracion!$B$3+273.15))))</x:f>
      </x:c>
      <x:c r="H445" s="44" t="str">
        <x:f>IF(D445="","",F445*G445)</x:f>
      </x:c>
      <x:c r="I445" s="44" t="str">
        <x:f>IF(D445="","",I444+H445)</x:f>
      </x:c>
      <x:c r="J445" s="46" t="str">
        <x:f>IF(D445="","",MIN(1,I445/Configuracion!$B$11))</x:f>
      </x:c>
      <x:c r="K445" s="48" t="str">
        <x:f>IF(D445="","",MAX(0,(Configuracion!$B$11-I445)/G445))</x:f>
      </x:c>
      <x:c r="L445" s="73" t="str">
        <x:f>IF(D445="","",C445+K445*60)</x:f>
      </x:c>
      <x:c r="M445" t="str">
        <x:f>IF(D445="","",IF(J445&gt;=Configuracion!$B$13,"DESLIZAR",IF(J445&gt;=Configuracion!$B$12,"PREPARARSE","NO DESLIZAR")))</x:f>
      </x:c>
      <x:c r="N445" s="41" t="str">
        <x:f>IF(D445="","",D445-$D$8)</x:f>
      </x:c>
      <x:c r="O445" s="46" t="str">
        <x:f>IF(D445="","",MAX(0,MIN(1,N445/Configuracion!$B$10)))</x:f>
      </x:c>
    </x:row>
    <x:row r="446">
      <x:c r="A446" s="34"/>
      <x:c r="B446" s="36"/>
      <x:c r="C446" s="72"/>
      <x:c r="D446" s="71"/>
      <x:c r="E446" s="41" t="str">
        <x:f>IF(D446="","",D446+273.15)</x:f>
      </x:c>
      <x:c r="F446" s="44" t="str">
        <x:f>IF(OR(C446="",D446="",C445=""),"",(C446-C445)/60)</x:f>
      </x:c>
      <x:c r="G446" s="44" t="str">
        <x:f>IF(D446="","",EXP(-Configuracion!$B$4/Configuracion!$B$5*(1/AVERAGE(E445:E446)-1/(Configuracion!$B$3+273.15))))</x:f>
      </x:c>
      <x:c r="H446" s="44" t="str">
        <x:f>IF(D446="","",F446*G446)</x:f>
      </x:c>
      <x:c r="I446" s="44" t="str">
        <x:f>IF(D446="","",I445+H446)</x:f>
      </x:c>
      <x:c r="J446" s="46" t="str">
        <x:f>IF(D446="","",MIN(1,I446/Configuracion!$B$11))</x:f>
      </x:c>
      <x:c r="K446" s="48" t="str">
        <x:f>IF(D446="","",MAX(0,(Configuracion!$B$11-I446)/G446))</x:f>
      </x:c>
      <x:c r="L446" s="73" t="str">
        <x:f>IF(D446="","",C446+K446*60)</x:f>
      </x:c>
      <x:c r="M446" t="str">
        <x:f>IF(D446="","",IF(J446&gt;=Configuracion!$B$13,"DESLIZAR",IF(J446&gt;=Configuracion!$B$12,"PREPARARSE","NO DESLIZAR")))</x:f>
      </x:c>
      <x:c r="N446" s="41" t="str">
        <x:f>IF(D446="","",D446-$D$8)</x:f>
      </x:c>
      <x:c r="O446" s="46" t="str">
        <x:f>IF(D446="","",MAX(0,MIN(1,N446/Configuracion!$B$10)))</x:f>
      </x:c>
    </x:row>
    <x:row r="447">
      <x:c r="A447" s="34"/>
      <x:c r="B447" s="36"/>
      <x:c r="C447" s="72"/>
      <x:c r="D447" s="71"/>
      <x:c r="E447" s="41" t="str">
        <x:f>IF(D447="","",D447+273.15)</x:f>
      </x:c>
      <x:c r="F447" s="44" t="str">
        <x:f>IF(OR(C447="",D447="",C446=""),"",(C447-C446)/60)</x:f>
      </x:c>
      <x:c r="G447" s="44" t="str">
        <x:f>IF(D447="","",EXP(-Configuracion!$B$4/Configuracion!$B$5*(1/AVERAGE(E446:E447)-1/(Configuracion!$B$3+273.15))))</x:f>
      </x:c>
      <x:c r="H447" s="44" t="str">
        <x:f>IF(D447="","",F447*G447)</x:f>
      </x:c>
      <x:c r="I447" s="44" t="str">
        <x:f>IF(D447="","",I446+H447)</x:f>
      </x:c>
      <x:c r="J447" s="46" t="str">
        <x:f>IF(D447="","",MIN(1,I447/Configuracion!$B$11))</x:f>
      </x:c>
      <x:c r="K447" s="48" t="str">
        <x:f>IF(D447="","",MAX(0,(Configuracion!$B$11-I447)/G447))</x:f>
      </x:c>
      <x:c r="L447" s="73" t="str">
        <x:f>IF(D447="","",C447+K447*60)</x:f>
      </x:c>
      <x:c r="M447" t="str">
        <x:f>IF(D447="","",IF(J447&gt;=Configuracion!$B$13,"DESLIZAR",IF(J447&gt;=Configuracion!$B$12,"PREPARARSE","NO DESLIZAR")))</x:f>
      </x:c>
      <x:c r="N447" s="41" t="str">
        <x:f>IF(D447="","",D447-$D$8)</x:f>
      </x:c>
      <x:c r="O447" s="46" t="str">
        <x:f>IF(D447="","",MAX(0,MIN(1,N447/Configuracion!$B$10)))</x:f>
      </x:c>
    </x:row>
    <x:row r="448">
      <x:c r="A448" s="34"/>
      <x:c r="B448" s="36"/>
      <x:c r="C448" s="72"/>
      <x:c r="D448" s="71"/>
      <x:c r="E448" s="41" t="str">
        <x:f>IF(D448="","",D448+273.15)</x:f>
      </x:c>
      <x:c r="F448" s="44" t="str">
        <x:f>IF(OR(C448="",D448="",C447=""),"",(C448-C447)/60)</x:f>
      </x:c>
      <x:c r="G448" s="44" t="str">
        <x:f>IF(D448="","",EXP(-Configuracion!$B$4/Configuracion!$B$5*(1/AVERAGE(E447:E448)-1/(Configuracion!$B$3+273.15))))</x:f>
      </x:c>
      <x:c r="H448" s="44" t="str">
        <x:f>IF(D448="","",F448*G448)</x:f>
      </x:c>
      <x:c r="I448" s="44" t="str">
        <x:f>IF(D448="","",I447+H448)</x:f>
      </x:c>
      <x:c r="J448" s="46" t="str">
        <x:f>IF(D448="","",MIN(1,I448/Configuracion!$B$11))</x:f>
      </x:c>
      <x:c r="K448" s="48" t="str">
        <x:f>IF(D448="","",MAX(0,(Configuracion!$B$11-I448)/G448))</x:f>
      </x:c>
      <x:c r="L448" s="73" t="str">
        <x:f>IF(D448="","",C448+K448*60)</x:f>
      </x:c>
      <x:c r="M448" t="str">
        <x:f>IF(D448="","",IF(J448&gt;=Configuracion!$B$13,"DESLIZAR",IF(J448&gt;=Configuracion!$B$12,"PREPARARSE","NO DESLIZAR")))</x:f>
      </x:c>
      <x:c r="N448" s="41" t="str">
        <x:f>IF(D448="","",D448-$D$8)</x:f>
      </x:c>
      <x:c r="O448" s="46" t="str">
        <x:f>IF(D448="","",MAX(0,MIN(1,N448/Configuracion!$B$10)))</x:f>
      </x:c>
    </x:row>
    <x:row r="449">
      <x:c r="A449" s="34"/>
      <x:c r="B449" s="36"/>
      <x:c r="C449" s="72"/>
      <x:c r="D449" s="71"/>
      <x:c r="E449" s="41" t="str">
        <x:f>IF(D449="","",D449+273.15)</x:f>
      </x:c>
      <x:c r="F449" s="44" t="str">
        <x:f>IF(OR(C449="",D449="",C448=""),"",(C449-C448)/60)</x:f>
      </x:c>
      <x:c r="G449" s="44" t="str">
        <x:f>IF(D449="","",EXP(-Configuracion!$B$4/Configuracion!$B$5*(1/AVERAGE(E448:E449)-1/(Configuracion!$B$3+273.15))))</x:f>
      </x:c>
      <x:c r="H449" s="44" t="str">
        <x:f>IF(D449="","",F449*G449)</x:f>
      </x:c>
      <x:c r="I449" s="44" t="str">
        <x:f>IF(D449="","",I448+H449)</x:f>
      </x:c>
      <x:c r="J449" s="46" t="str">
        <x:f>IF(D449="","",MIN(1,I449/Configuracion!$B$11))</x:f>
      </x:c>
      <x:c r="K449" s="48" t="str">
        <x:f>IF(D449="","",MAX(0,(Configuracion!$B$11-I449)/G449))</x:f>
      </x:c>
      <x:c r="L449" s="73" t="str">
        <x:f>IF(D449="","",C449+K449*60)</x:f>
      </x:c>
      <x:c r="M449" t="str">
        <x:f>IF(D449="","",IF(J449&gt;=Configuracion!$B$13,"DESLIZAR",IF(J449&gt;=Configuracion!$B$12,"PREPARARSE","NO DESLIZAR")))</x:f>
      </x:c>
      <x:c r="N449" s="41" t="str">
        <x:f>IF(D449="","",D449-$D$8)</x:f>
      </x:c>
      <x:c r="O449" s="46" t="str">
        <x:f>IF(D449="","",MAX(0,MIN(1,N449/Configuracion!$B$10)))</x:f>
      </x:c>
    </x:row>
    <x:row r="450">
      <x:c r="A450" s="34"/>
      <x:c r="B450" s="36"/>
      <x:c r="C450" s="72"/>
      <x:c r="D450" s="71"/>
      <x:c r="E450" s="41" t="str">
        <x:f>IF(D450="","",D450+273.15)</x:f>
      </x:c>
      <x:c r="F450" s="44" t="str">
        <x:f>IF(OR(C450="",D450="",C449=""),"",(C450-C449)/60)</x:f>
      </x:c>
      <x:c r="G450" s="44" t="str">
        <x:f>IF(D450="","",EXP(-Configuracion!$B$4/Configuracion!$B$5*(1/AVERAGE(E449:E450)-1/(Configuracion!$B$3+273.15))))</x:f>
      </x:c>
      <x:c r="H450" s="44" t="str">
        <x:f>IF(D450="","",F450*G450)</x:f>
      </x:c>
      <x:c r="I450" s="44" t="str">
        <x:f>IF(D450="","",I449+H450)</x:f>
      </x:c>
      <x:c r="J450" s="46" t="str">
        <x:f>IF(D450="","",MIN(1,I450/Configuracion!$B$11))</x:f>
      </x:c>
      <x:c r="K450" s="48" t="str">
        <x:f>IF(D450="","",MAX(0,(Configuracion!$B$11-I450)/G450))</x:f>
      </x:c>
      <x:c r="L450" s="73" t="str">
        <x:f>IF(D450="","",C450+K450*60)</x:f>
      </x:c>
      <x:c r="M450" t="str">
        <x:f>IF(D450="","",IF(J450&gt;=Configuracion!$B$13,"DESLIZAR",IF(J450&gt;=Configuracion!$B$12,"PREPARARSE","NO DESLIZAR")))</x:f>
      </x:c>
      <x:c r="N450" s="41" t="str">
        <x:f>IF(D450="","",D450-$D$8)</x:f>
      </x:c>
      <x:c r="O450" s="46" t="str">
        <x:f>IF(D450="","",MAX(0,MIN(1,N450/Configuracion!$B$10)))</x:f>
      </x:c>
    </x:row>
    <x:row r="451">
      <x:c r="A451" s="34"/>
      <x:c r="B451" s="36"/>
      <x:c r="C451" s="72"/>
      <x:c r="D451" s="71"/>
      <x:c r="E451" s="41" t="str">
        <x:f>IF(D451="","",D451+273.15)</x:f>
      </x:c>
      <x:c r="F451" s="44" t="str">
        <x:f>IF(OR(C451="",D451="",C450=""),"",(C451-C450)/60)</x:f>
      </x:c>
      <x:c r="G451" s="44" t="str">
        <x:f>IF(D451="","",EXP(-Configuracion!$B$4/Configuracion!$B$5*(1/AVERAGE(E450:E451)-1/(Configuracion!$B$3+273.15))))</x:f>
      </x:c>
      <x:c r="H451" s="44" t="str">
        <x:f>IF(D451="","",F451*G451)</x:f>
      </x:c>
      <x:c r="I451" s="44" t="str">
        <x:f>IF(D451="","",I450+H451)</x:f>
      </x:c>
      <x:c r="J451" s="46" t="str">
        <x:f>IF(D451="","",MIN(1,I451/Configuracion!$B$11))</x:f>
      </x:c>
      <x:c r="K451" s="48" t="str">
        <x:f>IF(D451="","",MAX(0,(Configuracion!$B$11-I451)/G451))</x:f>
      </x:c>
      <x:c r="L451" s="73" t="str">
        <x:f>IF(D451="","",C451+K451*60)</x:f>
      </x:c>
      <x:c r="M451" t="str">
        <x:f>IF(D451="","",IF(J451&gt;=Configuracion!$B$13,"DESLIZAR",IF(J451&gt;=Configuracion!$B$12,"PREPARARSE","NO DESLIZAR")))</x:f>
      </x:c>
      <x:c r="N451" s="41" t="str">
        <x:f>IF(D451="","",D451-$D$8)</x:f>
      </x:c>
      <x:c r="O451" s="46" t="str">
        <x:f>IF(D451="","",MAX(0,MIN(1,N451/Configuracion!$B$10)))</x:f>
      </x:c>
    </x:row>
    <x:row r="452">
      <x:c r="A452" s="34"/>
      <x:c r="B452" s="36"/>
      <x:c r="C452" s="72"/>
      <x:c r="D452" s="71"/>
      <x:c r="E452" s="41" t="str">
        <x:f>IF(D452="","",D452+273.15)</x:f>
      </x:c>
      <x:c r="F452" s="44" t="str">
        <x:f>IF(OR(C452="",D452="",C451=""),"",(C452-C451)/60)</x:f>
      </x:c>
      <x:c r="G452" s="44" t="str">
        <x:f>IF(D452="","",EXP(-Configuracion!$B$4/Configuracion!$B$5*(1/AVERAGE(E451:E452)-1/(Configuracion!$B$3+273.15))))</x:f>
      </x:c>
      <x:c r="H452" s="44" t="str">
        <x:f>IF(D452="","",F452*G452)</x:f>
      </x:c>
      <x:c r="I452" s="44" t="str">
        <x:f>IF(D452="","",I451+H452)</x:f>
      </x:c>
      <x:c r="J452" s="46" t="str">
        <x:f>IF(D452="","",MIN(1,I452/Configuracion!$B$11))</x:f>
      </x:c>
      <x:c r="K452" s="48" t="str">
        <x:f>IF(D452="","",MAX(0,(Configuracion!$B$11-I452)/G452))</x:f>
      </x:c>
      <x:c r="L452" s="73" t="str">
        <x:f>IF(D452="","",C452+K452*60)</x:f>
      </x:c>
      <x:c r="M452" t="str">
        <x:f>IF(D452="","",IF(J452&gt;=Configuracion!$B$13,"DESLIZAR",IF(J452&gt;=Configuracion!$B$12,"PREPARARSE","NO DESLIZAR")))</x:f>
      </x:c>
      <x:c r="N452" s="41" t="str">
        <x:f>IF(D452="","",D452-$D$8)</x:f>
      </x:c>
      <x:c r="O452" s="46" t="str">
        <x:f>IF(D452="","",MAX(0,MIN(1,N452/Configuracion!$B$10)))</x:f>
      </x:c>
    </x:row>
    <x:row r="453">
      <x:c r="A453" s="34"/>
      <x:c r="B453" s="36"/>
      <x:c r="C453" s="72"/>
      <x:c r="D453" s="71"/>
      <x:c r="E453" s="41" t="str">
        <x:f>IF(D453="","",D453+273.15)</x:f>
      </x:c>
      <x:c r="F453" s="44" t="str">
        <x:f>IF(OR(C453="",D453="",C452=""),"",(C453-C452)/60)</x:f>
      </x:c>
      <x:c r="G453" s="44" t="str">
        <x:f>IF(D453="","",EXP(-Configuracion!$B$4/Configuracion!$B$5*(1/AVERAGE(E452:E453)-1/(Configuracion!$B$3+273.15))))</x:f>
      </x:c>
      <x:c r="H453" s="44" t="str">
        <x:f>IF(D453="","",F453*G453)</x:f>
      </x:c>
      <x:c r="I453" s="44" t="str">
        <x:f>IF(D453="","",I452+H453)</x:f>
      </x:c>
      <x:c r="J453" s="46" t="str">
        <x:f>IF(D453="","",MIN(1,I453/Configuracion!$B$11))</x:f>
      </x:c>
      <x:c r="K453" s="48" t="str">
        <x:f>IF(D453="","",MAX(0,(Configuracion!$B$11-I453)/G453))</x:f>
      </x:c>
      <x:c r="L453" s="73" t="str">
        <x:f>IF(D453="","",C453+K453*60)</x:f>
      </x:c>
      <x:c r="M453" t="str">
        <x:f>IF(D453="","",IF(J453&gt;=Configuracion!$B$13,"DESLIZAR",IF(J453&gt;=Configuracion!$B$12,"PREPARARSE","NO DESLIZAR")))</x:f>
      </x:c>
      <x:c r="N453" s="41" t="str">
        <x:f>IF(D453="","",D453-$D$8)</x:f>
      </x:c>
      <x:c r="O453" s="46" t="str">
        <x:f>IF(D453="","",MAX(0,MIN(1,N453/Configuracion!$B$10)))</x:f>
      </x:c>
    </x:row>
    <x:row r="454">
      <x:c r="A454" s="34"/>
      <x:c r="B454" s="36"/>
      <x:c r="C454" s="72"/>
      <x:c r="D454" s="71"/>
      <x:c r="E454" s="41" t="str">
        <x:f>IF(D454="","",D454+273.15)</x:f>
      </x:c>
      <x:c r="F454" s="44" t="str">
        <x:f>IF(OR(C454="",D454="",C453=""),"",(C454-C453)/60)</x:f>
      </x:c>
      <x:c r="G454" s="44" t="str">
        <x:f>IF(D454="","",EXP(-Configuracion!$B$4/Configuracion!$B$5*(1/AVERAGE(E453:E454)-1/(Configuracion!$B$3+273.15))))</x:f>
      </x:c>
      <x:c r="H454" s="44" t="str">
        <x:f>IF(D454="","",F454*G454)</x:f>
      </x:c>
      <x:c r="I454" s="44" t="str">
        <x:f>IF(D454="","",I453+H454)</x:f>
      </x:c>
      <x:c r="J454" s="46" t="str">
        <x:f>IF(D454="","",MIN(1,I454/Configuracion!$B$11))</x:f>
      </x:c>
      <x:c r="K454" s="48" t="str">
        <x:f>IF(D454="","",MAX(0,(Configuracion!$B$11-I454)/G454))</x:f>
      </x:c>
      <x:c r="L454" s="73" t="str">
        <x:f>IF(D454="","",C454+K454*60)</x:f>
      </x:c>
      <x:c r="M454" t="str">
        <x:f>IF(D454="","",IF(J454&gt;=Configuracion!$B$13,"DESLIZAR",IF(J454&gt;=Configuracion!$B$12,"PREPARARSE","NO DESLIZAR")))</x:f>
      </x:c>
      <x:c r="N454" s="41" t="str">
        <x:f>IF(D454="","",D454-$D$8)</x:f>
      </x:c>
      <x:c r="O454" s="46" t="str">
        <x:f>IF(D454="","",MAX(0,MIN(1,N454/Configuracion!$B$10)))</x:f>
      </x:c>
    </x:row>
    <x:row r="455">
      <x:c r="A455" s="34"/>
      <x:c r="B455" s="36"/>
      <x:c r="C455" s="72"/>
      <x:c r="D455" s="71"/>
      <x:c r="E455" s="41" t="str">
        <x:f>IF(D455="","",D455+273.15)</x:f>
      </x:c>
      <x:c r="F455" s="44" t="str">
        <x:f>IF(OR(C455="",D455="",C454=""),"",(C455-C454)/60)</x:f>
      </x:c>
      <x:c r="G455" s="44" t="str">
        <x:f>IF(D455="","",EXP(-Configuracion!$B$4/Configuracion!$B$5*(1/AVERAGE(E454:E455)-1/(Configuracion!$B$3+273.15))))</x:f>
      </x:c>
      <x:c r="H455" s="44" t="str">
        <x:f>IF(D455="","",F455*G455)</x:f>
      </x:c>
      <x:c r="I455" s="44" t="str">
        <x:f>IF(D455="","",I454+H455)</x:f>
      </x:c>
      <x:c r="J455" s="46" t="str">
        <x:f>IF(D455="","",MIN(1,I455/Configuracion!$B$11))</x:f>
      </x:c>
      <x:c r="K455" s="48" t="str">
        <x:f>IF(D455="","",MAX(0,(Configuracion!$B$11-I455)/G455))</x:f>
      </x:c>
      <x:c r="L455" s="73" t="str">
        <x:f>IF(D455="","",C455+K455*60)</x:f>
      </x:c>
      <x:c r="M455" t="str">
        <x:f>IF(D455="","",IF(J455&gt;=Configuracion!$B$13,"DESLIZAR",IF(J455&gt;=Configuracion!$B$12,"PREPARARSE","NO DESLIZAR")))</x:f>
      </x:c>
      <x:c r="N455" s="41" t="str">
        <x:f>IF(D455="","",D455-$D$8)</x:f>
      </x:c>
      <x:c r="O455" s="46" t="str">
        <x:f>IF(D455="","",MAX(0,MIN(1,N455/Configuracion!$B$10)))</x:f>
      </x:c>
    </x:row>
    <x:row r="456">
      <x:c r="A456" s="34"/>
      <x:c r="B456" s="36"/>
      <x:c r="C456" s="72"/>
      <x:c r="D456" s="71"/>
      <x:c r="E456" s="41" t="str">
        <x:f>IF(D456="","",D456+273.15)</x:f>
      </x:c>
      <x:c r="F456" s="44" t="str">
        <x:f>IF(OR(C456="",D456="",C455=""),"",(C456-C455)/60)</x:f>
      </x:c>
      <x:c r="G456" s="44" t="str">
        <x:f>IF(D456="","",EXP(-Configuracion!$B$4/Configuracion!$B$5*(1/AVERAGE(E455:E456)-1/(Configuracion!$B$3+273.15))))</x:f>
      </x:c>
      <x:c r="H456" s="44" t="str">
        <x:f>IF(D456="","",F456*G456)</x:f>
      </x:c>
      <x:c r="I456" s="44" t="str">
        <x:f>IF(D456="","",I455+H456)</x:f>
      </x:c>
      <x:c r="J456" s="46" t="str">
        <x:f>IF(D456="","",MIN(1,I456/Configuracion!$B$11))</x:f>
      </x:c>
      <x:c r="K456" s="48" t="str">
        <x:f>IF(D456="","",MAX(0,(Configuracion!$B$11-I456)/G456))</x:f>
      </x:c>
      <x:c r="L456" s="73" t="str">
        <x:f>IF(D456="","",C456+K456*60)</x:f>
      </x:c>
      <x:c r="M456" t="str">
        <x:f>IF(D456="","",IF(J456&gt;=Configuracion!$B$13,"DESLIZAR",IF(J456&gt;=Configuracion!$B$12,"PREPARARSE","NO DESLIZAR")))</x:f>
      </x:c>
      <x:c r="N456" s="41" t="str">
        <x:f>IF(D456="","",D456-$D$8)</x:f>
      </x:c>
      <x:c r="O456" s="46" t="str">
        <x:f>IF(D456="","",MAX(0,MIN(1,N456/Configuracion!$B$10)))</x:f>
      </x:c>
    </x:row>
    <x:row r="457">
      <x:c r="A457" s="34"/>
      <x:c r="B457" s="36"/>
      <x:c r="C457" s="72"/>
      <x:c r="D457" s="71"/>
      <x:c r="E457" s="41" t="str">
        <x:f>IF(D457="","",D457+273.15)</x:f>
      </x:c>
      <x:c r="F457" s="44" t="str">
        <x:f>IF(OR(C457="",D457="",C456=""),"",(C457-C456)/60)</x:f>
      </x:c>
      <x:c r="G457" s="44" t="str">
        <x:f>IF(D457="","",EXP(-Configuracion!$B$4/Configuracion!$B$5*(1/AVERAGE(E456:E457)-1/(Configuracion!$B$3+273.15))))</x:f>
      </x:c>
      <x:c r="H457" s="44" t="str">
        <x:f>IF(D457="","",F457*G457)</x:f>
      </x:c>
      <x:c r="I457" s="44" t="str">
        <x:f>IF(D457="","",I456+H457)</x:f>
      </x:c>
      <x:c r="J457" s="46" t="str">
        <x:f>IF(D457="","",MIN(1,I457/Configuracion!$B$11))</x:f>
      </x:c>
      <x:c r="K457" s="48" t="str">
        <x:f>IF(D457="","",MAX(0,(Configuracion!$B$11-I457)/G457))</x:f>
      </x:c>
      <x:c r="L457" s="73" t="str">
        <x:f>IF(D457="","",C457+K457*60)</x:f>
      </x:c>
      <x:c r="M457" t="str">
        <x:f>IF(D457="","",IF(J457&gt;=Configuracion!$B$13,"DESLIZAR",IF(J457&gt;=Configuracion!$B$12,"PREPARARSE","NO DESLIZAR")))</x:f>
      </x:c>
      <x:c r="N457" s="41" t="str">
        <x:f>IF(D457="","",D457-$D$8)</x:f>
      </x:c>
      <x:c r="O457" s="46" t="str">
        <x:f>IF(D457="","",MAX(0,MIN(1,N457/Configuracion!$B$10)))</x:f>
      </x:c>
    </x:row>
    <x:row r="458">
      <x:c r="A458" s="34"/>
      <x:c r="B458" s="36"/>
      <x:c r="C458" s="72"/>
      <x:c r="D458" s="71"/>
      <x:c r="E458" s="41" t="str">
        <x:f>IF(D458="","",D458+273.15)</x:f>
      </x:c>
      <x:c r="F458" s="44" t="str">
        <x:f>IF(OR(C458="",D458="",C457=""),"",(C458-C457)/60)</x:f>
      </x:c>
      <x:c r="G458" s="44" t="str">
        <x:f>IF(D458="","",EXP(-Configuracion!$B$4/Configuracion!$B$5*(1/AVERAGE(E457:E458)-1/(Configuracion!$B$3+273.15))))</x:f>
      </x:c>
      <x:c r="H458" s="44" t="str">
        <x:f>IF(D458="","",F458*G458)</x:f>
      </x:c>
      <x:c r="I458" s="44" t="str">
        <x:f>IF(D458="","",I457+H458)</x:f>
      </x:c>
      <x:c r="J458" s="46" t="str">
        <x:f>IF(D458="","",MIN(1,I458/Configuracion!$B$11))</x:f>
      </x:c>
      <x:c r="K458" s="48" t="str">
        <x:f>IF(D458="","",MAX(0,(Configuracion!$B$11-I458)/G458))</x:f>
      </x:c>
      <x:c r="L458" s="73" t="str">
        <x:f>IF(D458="","",C458+K458*60)</x:f>
      </x:c>
      <x:c r="M458" t="str">
        <x:f>IF(D458="","",IF(J458&gt;=Configuracion!$B$13,"DESLIZAR",IF(J458&gt;=Configuracion!$B$12,"PREPARARSE","NO DESLIZAR")))</x:f>
      </x:c>
      <x:c r="N458" s="41" t="str">
        <x:f>IF(D458="","",D458-$D$8)</x:f>
      </x:c>
      <x:c r="O458" s="46" t="str">
        <x:f>IF(D458="","",MAX(0,MIN(1,N458/Configuracion!$B$10)))</x:f>
      </x:c>
    </x:row>
    <x:row r="459">
      <x:c r="A459" s="34"/>
      <x:c r="B459" s="36"/>
      <x:c r="C459" s="72"/>
      <x:c r="D459" s="71"/>
      <x:c r="E459" s="41" t="str">
        <x:f>IF(D459="","",D459+273.15)</x:f>
      </x:c>
      <x:c r="F459" s="44" t="str">
        <x:f>IF(OR(C459="",D459="",C458=""),"",(C459-C458)/60)</x:f>
      </x:c>
      <x:c r="G459" s="44" t="str">
        <x:f>IF(D459="","",EXP(-Configuracion!$B$4/Configuracion!$B$5*(1/AVERAGE(E458:E459)-1/(Configuracion!$B$3+273.15))))</x:f>
      </x:c>
      <x:c r="H459" s="44" t="str">
        <x:f>IF(D459="","",F459*G459)</x:f>
      </x:c>
      <x:c r="I459" s="44" t="str">
        <x:f>IF(D459="","",I458+H459)</x:f>
      </x:c>
      <x:c r="J459" s="46" t="str">
        <x:f>IF(D459="","",MIN(1,I459/Configuracion!$B$11))</x:f>
      </x:c>
      <x:c r="K459" s="48" t="str">
        <x:f>IF(D459="","",MAX(0,(Configuracion!$B$11-I459)/G459))</x:f>
      </x:c>
      <x:c r="L459" s="73" t="str">
        <x:f>IF(D459="","",C459+K459*60)</x:f>
      </x:c>
      <x:c r="M459" t="str">
        <x:f>IF(D459="","",IF(J459&gt;=Configuracion!$B$13,"DESLIZAR",IF(J459&gt;=Configuracion!$B$12,"PREPARARSE","NO DESLIZAR")))</x:f>
      </x:c>
      <x:c r="N459" s="41" t="str">
        <x:f>IF(D459="","",D459-$D$8)</x:f>
      </x:c>
      <x:c r="O459" s="46" t="str">
        <x:f>IF(D459="","",MAX(0,MIN(1,N459/Configuracion!$B$10)))</x:f>
      </x:c>
    </x:row>
    <x:row r="460">
      <x:c r="A460" s="34"/>
      <x:c r="B460" s="36"/>
      <x:c r="C460" s="72"/>
      <x:c r="D460" s="71"/>
      <x:c r="E460" s="41" t="str">
        <x:f>IF(D460="","",D460+273.15)</x:f>
      </x:c>
      <x:c r="F460" s="44" t="str">
        <x:f>IF(OR(C460="",D460="",C459=""),"",(C460-C459)/60)</x:f>
      </x:c>
      <x:c r="G460" s="44" t="str">
        <x:f>IF(D460="","",EXP(-Configuracion!$B$4/Configuracion!$B$5*(1/AVERAGE(E459:E460)-1/(Configuracion!$B$3+273.15))))</x:f>
      </x:c>
      <x:c r="H460" s="44" t="str">
        <x:f>IF(D460="","",F460*G460)</x:f>
      </x:c>
      <x:c r="I460" s="44" t="str">
        <x:f>IF(D460="","",I459+H460)</x:f>
      </x:c>
      <x:c r="J460" s="46" t="str">
        <x:f>IF(D460="","",MIN(1,I460/Configuracion!$B$11))</x:f>
      </x:c>
      <x:c r="K460" s="48" t="str">
        <x:f>IF(D460="","",MAX(0,(Configuracion!$B$11-I460)/G460))</x:f>
      </x:c>
      <x:c r="L460" s="73" t="str">
        <x:f>IF(D460="","",C460+K460*60)</x:f>
      </x:c>
      <x:c r="M460" t="str">
        <x:f>IF(D460="","",IF(J460&gt;=Configuracion!$B$13,"DESLIZAR",IF(J460&gt;=Configuracion!$B$12,"PREPARARSE","NO DESLIZAR")))</x:f>
      </x:c>
      <x:c r="N460" s="41" t="str">
        <x:f>IF(D460="","",D460-$D$8)</x:f>
      </x:c>
      <x:c r="O460" s="46" t="str">
        <x:f>IF(D460="","",MAX(0,MIN(1,N460/Configuracion!$B$10)))</x:f>
      </x:c>
    </x:row>
    <x:row r="461">
      <x:c r="A461" s="34"/>
      <x:c r="B461" s="36"/>
      <x:c r="C461" s="72"/>
      <x:c r="D461" s="71"/>
      <x:c r="E461" s="41" t="str">
        <x:f>IF(D461="","",D461+273.15)</x:f>
      </x:c>
      <x:c r="F461" s="44" t="str">
        <x:f>IF(OR(C461="",D461="",C460=""),"",(C461-C460)/60)</x:f>
      </x:c>
      <x:c r="G461" s="44" t="str">
        <x:f>IF(D461="","",EXP(-Configuracion!$B$4/Configuracion!$B$5*(1/AVERAGE(E460:E461)-1/(Configuracion!$B$3+273.15))))</x:f>
      </x:c>
      <x:c r="H461" s="44" t="str">
        <x:f>IF(D461="","",F461*G461)</x:f>
      </x:c>
      <x:c r="I461" s="44" t="str">
        <x:f>IF(D461="","",I460+H461)</x:f>
      </x:c>
      <x:c r="J461" s="46" t="str">
        <x:f>IF(D461="","",MIN(1,I461/Configuracion!$B$11))</x:f>
      </x:c>
      <x:c r="K461" s="48" t="str">
        <x:f>IF(D461="","",MAX(0,(Configuracion!$B$11-I461)/G461))</x:f>
      </x:c>
      <x:c r="L461" s="73" t="str">
        <x:f>IF(D461="","",C461+K461*60)</x:f>
      </x:c>
      <x:c r="M461" t="str">
        <x:f>IF(D461="","",IF(J461&gt;=Configuracion!$B$13,"DESLIZAR",IF(J461&gt;=Configuracion!$B$12,"PREPARARSE","NO DESLIZAR")))</x:f>
      </x:c>
      <x:c r="N461" s="41" t="str">
        <x:f>IF(D461="","",D461-$D$8)</x:f>
      </x:c>
      <x:c r="O461" s="46" t="str">
        <x:f>IF(D461="","",MAX(0,MIN(1,N461/Configuracion!$B$10)))</x:f>
      </x:c>
    </x:row>
    <x:row r="462">
      <x:c r="A462" s="34"/>
      <x:c r="B462" s="36"/>
      <x:c r="C462" s="72"/>
      <x:c r="D462" s="71"/>
      <x:c r="E462" s="41" t="str">
        <x:f>IF(D462="","",D462+273.15)</x:f>
      </x:c>
      <x:c r="F462" s="44" t="str">
        <x:f>IF(OR(C462="",D462="",C461=""),"",(C462-C461)/60)</x:f>
      </x:c>
      <x:c r="G462" s="44" t="str">
        <x:f>IF(D462="","",EXP(-Configuracion!$B$4/Configuracion!$B$5*(1/AVERAGE(E461:E462)-1/(Configuracion!$B$3+273.15))))</x:f>
      </x:c>
      <x:c r="H462" s="44" t="str">
        <x:f>IF(D462="","",F462*G462)</x:f>
      </x:c>
      <x:c r="I462" s="44" t="str">
        <x:f>IF(D462="","",I461+H462)</x:f>
      </x:c>
      <x:c r="J462" s="46" t="str">
        <x:f>IF(D462="","",MIN(1,I462/Configuracion!$B$11))</x:f>
      </x:c>
      <x:c r="K462" s="48" t="str">
        <x:f>IF(D462="","",MAX(0,(Configuracion!$B$11-I462)/G462))</x:f>
      </x:c>
      <x:c r="L462" s="73" t="str">
        <x:f>IF(D462="","",C462+K462*60)</x:f>
      </x:c>
      <x:c r="M462" t="str">
        <x:f>IF(D462="","",IF(J462&gt;=Configuracion!$B$13,"DESLIZAR",IF(J462&gt;=Configuracion!$B$12,"PREPARARSE","NO DESLIZAR")))</x:f>
      </x:c>
      <x:c r="N462" s="41" t="str">
        <x:f>IF(D462="","",D462-$D$8)</x:f>
      </x:c>
      <x:c r="O462" s="46" t="str">
        <x:f>IF(D462="","",MAX(0,MIN(1,N462/Configuracion!$B$10)))</x:f>
      </x:c>
    </x:row>
    <x:row r="463">
      <x:c r="A463" s="34"/>
      <x:c r="B463" s="36"/>
      <x:c r="C463" s="72"/>
      <x:c r="D463" s="71"/>
      <x:c r="E463" s="41" t="str">
        <x:f>IF(D463="","",D463+273.15)</x:f>
      </x:c>
      <x:c r="F463" s="44" t="str">
        <x:f>IF(OR(C463="",D463="",C462=""),"",(C463-C462)/60)</x:f>
      </x:c>
      <x:c r="G463" s="44" t="str">
        <x:f>IF(D463="","",EXP(-Configuracion!$B$4/Configuracion!$B$5*(1/AVERAGE(E462:E463)-1/(Configuracion!$B$3+273.15))))</x:f>
      </x:c>
      <x:c r="H463" s="44" t="str">
        <x:f>IF(D463="","",F463*G463)</x:f>
      </x:c>
      <x:c r="I463" s="44" t="str">
        <x:f>IF(D463="","",I462+H463)</x:f>
      </x:c>
      <x:c r="J463" s="46" t="str">
        <x:f>IF(D463="","",MIN(1,I463/Configuracion!$B$11))</x:f>
      </x:c>
      <x:c r="K463" s="48" t="str">
        <x:f>IF(D463="","",MAX(0,(Configuracion!$B$11-I463)/G463))</x:f>
      </x:c>
      <x:c r="L463" s="73" t="str">
        <x:f>IF(D463="","",C463+K463*60)</x:f>
      </x:c>
      <x:c r="M463" t="str">
        <x:f>IF(D463="","",IF(J463&gt;=Configuracion!$B$13,"DESLIZAR",IF(J463&gt;=Configuracion!$B$12,"PREPARARSE","NO DESLIZAR")))</x:f>
      </x:c>
      <x:c r="N463" s="41" t="str">
        <x:f>IF(D463="","",D463-$D$8)</x:f>
      </x:c>
      <x:c r="O463" s="46" t="str">
        <x:f>IF(D463="","",MAX(0,MIN(1,N463/Configuracion!$B$10)))</x:f>
      </x:c>
    </x:row>
    <x:row r="464">
      <x:c r="A464" s="34"/>
      <x:c r="B464" s="36"/>
      <x:c r="C464" s="72"/>
      <x:c r="D464" s="71"/>
      <x:c r="E464" s="41" t="str">
        <x:f>IF(D464="","",D464+273.15)</x:f>
      </x:c>
      <x:c r="F464" s="44" t="str">
        <x:f>IF(OR(C464="",D464="",C463=""),"",(C464-C463)/60)</x:f>
      </x:c>
      <x:c r="G464" s="44" t="str">
        <x:f>IF(D464="","",EXP(-Configuracion!$B$4/Configuracion!$B$5*(1/AVERAGE(E463:E464)-1/(Configuracion!$B$3+273.15))))</x:f>
      </x:c>
      <x:c r="H464" s="44" t="str">
        <x:f>IF(D464="","",F464*G464)</x:f>
      </x:c>
      <x:c r="I464" s="44" t="str">
        <x:f>IF(D464="","",I463+H464)</x:f>
      </x:c>
      <x:c r="J464" s="46" t="str">
        <x:f>IF(D464="","",MIN(1,I464/Configuracion!$B$11))</x:f>
      </x:c>
      <x:c r="K464" s="48" t="str">
        <x:f>IF(D464="","",MAX(0,(Configuracion!$B$11-I464)/G464))</x:f>
      </x:c>
      <x:c r="L464" s="73" t="str">
        <x:f>IF(D464="","",C464+K464*60)</x:f>
      </x:c>
      <x:c r="M464" t="str">
        <x:f>IF(D464="","",IF(J464&gt;=Configuracion!$B$13,"DESLIZAR",IF(J464&gt;=Configuracion!$B$12,"PREPARARSE","NO DESLIZAR")))</x:f>
      </x:c>
      <x:c r="N464" s="41" t="str">
        <x:f>IF(D464="","",D464-$D$8)</x:f>
      </x:c>
      <x:c r="O464" s="46" t="str">
        <x:f>IF(D464="","",MAX(0,MIN(1,N464/Configuracion!$B$10)))</x:f>
      </x:c>
    </x:row>
    <x:row r="465">
      <x:c r="A465" s="34"/>
      <x:c r="B465" s="36"/>
      <x:c r="C465" s="72"/>
      <x:c r="D465" s="71"/>
      <x:c r="E465" s="41" t="str">
        <x:f>IF(D465="","",D465+273.15)</x:f>
      </x:c>
      <x:c r="F465" s="44" t="str">
        <x:f>IF(OR(C465="",D465="",C464=""),"",(C465-C464)/60)</x:f>
      </x:c>
      <x:c r="G465" s="44" t="str">
        <x:f>IF(D465="","",EXP(-Configuracion!$B$4/Configuracion!$B$5*(1/AVERAGE(E464:E465)-1/(Configuracion!$B$3+273.15))))</x:f>
      </x:c>
      <x:c r="H465" s="44" t="str">
        <x:f>IF(D465="","",F465*G465)</x:f>
      </x:c>
      <x:c r="I465" s="44" t="str">
        <x:f>IF(D465="","",I464+H465)</x:f>
      </x:c>
      <x:c r="J465" s="46" t="str">
        <x:f>IF(D465="","",MIN(1,I465/Configuracion!$B$11))</x:f>
      </x:c>
      <x:c r="K465" s="48" t="str">
        <x:f>IF(D465="","",MAX(0,(Configuracion!$B$11-I465)/G465))</x:f>
      </x:c>
      <x:c r="L465" s="73" t="str">
        <x:f>IF(D465="","",C465+K465*60)</x:f>
      </x:c>
      <x:c r="M465" t="str">
        <x:f>IF(D465="","",IF(J465&gt;=Configuracion!$B$13,"DESLIZAR",IF(J465&gt;=Configuracion!$B$12,"PREPARARSE","NO DESLIZAR")))</x:f>
      </x:c>
      <x:c r="N465" s="41" t="str">
        <x:f>IF(D465="","",D465-$D$8)</x:f>
      </x:c>
      <x:c r="O465" s="46" t="str">
        <x:f>IF(D465="","",MAX(0,MIN(1,N465/Configuracion!$B$10)))</x:f>
      </x:c>
    </x:row>
    <x:row r="466">
      <x:c r="A466" s="34"/>
      <x:c r="B466" s="36"/>
      <x:c r="C466" s="72"/>
      <x:c r="D466" s="71"/>
      <x:c r="E466" s="41" t="str">
        <x:f>IF(D466="","",D466+273.15)</x:f>
      </x:c>
      <x:c r="F466" s="44" t="str">
        <x:f>IF(OR(C466="",D466="",C465=""),"",(C466-C465)/60)</x:f>
      </x:c>
      <x:c r="G466" s="44" t="str">
        <x:f>IF(D466="","",EXP(-Configuracion!$B$4/Configuracion!$B$5*(1/AVERAGE(E465:E466)-1/(Configuracion!$B$3+273.15))))</x:f>
      </x:c>
      <x:c r="H466" s="44" t="str">
        <x:f>IF(D466="","",F466*G466)</x:f>
      </x:c>
      <x:c r="I466" s="44" t="str">
        <x:f>IF(D466="","",I465+H466)</x:f>
      </x:c>
      <x:c r="J466" s="46" t="str">
        <x:f>IF(D466="","",MIN(1,I466/Configuracion!$B$11))</x:f>
      </x:c>
      <x:c r="K466" s="48" t="str">
        <x:f>IF(D466="","",MAX(0,(Configuracion!$B$11-I466)/G466))</x:f>
      </x:c>
      <x:c r="L466" s="73" t="str">
        <x:f>IF(D466="","",C466+K466*60)</x:f>
      </x:c>
      <x:c r="M466" t="str">
        <x:f>IF(D466="","",IF(J466&gt;=Configuracion!$B$13,"DESLIZAR",IF(J466&gt;=Configuracion!$B$12,"PREPARARSE","NO DESLIZAR")))</x:f>
      </x:c>
      <x:c r="N466" s="41" t="str">
        <x:f>IF(D466="","",D466-$D$8)</x:f>
      </x:c>
      <x:c r="O466" s="46" t="str">
        <x:f>IF(D466="","",MAX(0,MIN(1,N466/Configuracion!$B$10)))</x:f>
      </x:c>
    </x:row>
    <x:row r="467">
      <x:c r="A467" s="34"/>
      <x:c r="B467" s="36"/>
      <x:c r="C467" s="72"/>
      <x:c r="D467" s="71"/>
      <x:c r="E467" s="41" t="str">
        <x:f>IF(D467="","",D467+273.15)</x:f>
      </x:c>
      <x:c r="F467" s="44" t="str">
        <x:f>IF(OR(C467="",D467="",C466=""),"",(C467-C466)/60)</x:f>
      </x:c>
      <x:c r="G467" s="44" t="str">
        <x:f>IF(D467="","",EXP(-Configuracion!$B$4/Configuracion!$B$5*(1/AVERAGE(E466:E467)-1/(Configuracion!$B$3+273.15))))</x:f>
      </x:c>
      <x:c r="H467" s="44" t="str">
        <x:f>IF(D467="","",F467*G467)</x:f>
      </x:c>
      <x:c r="I467" s="44" t="str">
        <x:f>IF(D467="","",I466+H467)</x:f>
      </x:c>
      <x:c r="J467" s="46" t="str">
        <x:f>IF(D467="","",MIN(1,I467/Configuracion!$B$11))</x:f>
      </x:c>
      <x:c r="K467" s="48" t="str">
        <x:f>IF(D467="","",MAX(0,(Configuracion!$B$11-I467)/G467))</x:f>
      </x:c>
      <x:c r="L467" s="73" t="str">
        <x:f>IF(D467="","",C467+K467*60)</x:f>
      </x:c>
      <x:c r="M467" t="str">
        <x:f>IF(D467="","",IF(J467&gt;=Configuracion!$B$13,"DESLIZAR",IF(J467&gt;=Configuracion!$B$12,"PREPARARSE","NO DESLIZAR")))</x:f>
      </x:c>
      <x:c r="N467" s="41" t="str">
        <x:f>IF(D467="","",D467-$D$8)</x:f>
      </x:c>
      <x:c r="O467" s="46" t="str">
        <x:f>IF(D467="","",MAX(0,MIN(1,N467/Configuracion!$B$10)))</x:f>
      </x:c>
    </x:row>
    <x:row r="468">
      <x:c r="A468" s="34"/>
      <x:c r="B468" s="36"/>
      <x:c r="C468" s="72"/>
      <x:c r="D468" s="71"/>
      <x:c r="E468" s="41" t="str">
        <x:f>IF(D468="","",D468+273.15)</x:f>
      </x:c>
      <x:c r="F468" s="44" t="str">
        <x:f>IF(OR(C468="",D468="",C467=""),"",(C468-C467)/60)</x:f>
      </x:c>
      <x:c r="G468" s="44" t="str">
        <x:f>IF(D468="","",EXP(-Configuracion!$B$4/Configuracion!$B$5*(1/AVERAGE(E467:E468)-1/(Configuracion!$B$3+273.15))))</x:f>
      </x:c>
      <x:c r="H468" s="44" t="str">
        <x:f>IF(D468="","",F468*G468)</x:f>
      </x:c>
      <x:c r="I468" s="44" t="str">
        <x:f>IF(D468="","",I467+H468)</x:f>
      </x:c>
      <x:c r="J468" s="46" t="str">
        <x:f>IF(D468="","",MIN(1,I468/Configuracion!$B$11))</x:f>
      </x:c>
      <x:c r="K468" s="48" t="str">
        <x:f>IF(D468="","",MAX(0,(Configuracion!$B$11-I468)/G468))</x:f>
      </x:c>
      <x:c r="L468" s="73" t="str">
        <x:f>IF(D468="","",C468+K468*60)</x:f>
      </x:c>
      <x:c r="M468" t="str">
        <x:f>IF(D468="","",IF(J468&gt;=Configuracion!$B$13,"DESLIZAR",IF(J468&gt;=Configuracion!$B$12,"PREPARARSE","NO DESLIZAR")))</x:f>
      </x:c>
      <x:c r="N468" s="41" t="str">
        <x:f>IF(D468="","",D468-$D$8)</x:f>
      </x:c>
      <x:c r="O468" s="46" t="str">
        <x:f>IF(D468="","",MAX(0,MIN(1,N468/Configuracion!$B$10)))</x:f>
      </x:c>
    </x:row>
    <x:row r="469">
      <x:c r="A469" s="34"/>
      <x:c r="B469" s="36"/>
      <x:c r="C469" s="72"/>
      <x:c r="D469" s="71"/>
      <x:c r="E469" s="41" t="str">
        <x:f>IF(D469="","",D469+273.15)</x:f>
      </x:c>
      <x:c r="F469" s="44" t="str">
        <x:f>IF(OR(C469="",D469="",C468=""),"",(C469-C468)/60)</x:f>
      </x:c>
      <x:c r="G469" s="44" t="str">
        <x:f>IF(D469="","",EXP(-Configuracion!$B$4/Configuracion!$B$5*(1/AVERAGE(E468:E469)-1/(Configuracion!$B$3+273.15))))</x:f>
      </x:c>
      <x:c r="H469" s="44" t="str">
        <x:f>IF(D469="","",F469*G469)</x:f>
      </x:c>
      <x:c r="I469" s="44" t="str">
        <x:f>IF(D469="","",I468+H469)</x:f>
      </x:c>
      <x:c r="J469" s="46" t="str">
        <x:f>IF(D469="","",MIN(1,I469/Configuracion!$B$11))</x:f>
      </x:c>
      <x:c r="K469" s="48" t="str">
        <x:f>IF(D469="","",MAX(0,(Configuracion!$B$11-I469)/G469))</x:f>
      </x:c>
      <x:c r="L469" s="73" t="str">
        <x:f>IF(D469="","",C469+K469*60)</x:f>
      </x:c>
      <x:c r="M469" t="str">
        <x:f>IF(D469="","",IF(J469&gt;=Configuracion!$B$13,"DESLIZAR",IF(J469&gt;=Configuracion!$B$12,"PREPARARSE","NO DESLIZAR")))</x:f>
      </x:c>
      <x:c r="N469" s="41" t="str">
        <x:f>IF(D469="","",D469-$D$8)</x:f>
      </x:c>
      <x:c r="O469" s="46" t="str">
        <x:f>IF(D469="","",MAX(0,MIN(1,N469/Configuracion!$B$10)))</x:f>
      </x:c>
    </x:row>
    <x:row r="470">
      <x:c r="A470" s="34"/>
      <x:c r="B470" s="36"/>
      <x:c r="C470" s="72"/>
      <x:c r="D470" s="71"/>
      <x:c r="E470" s="41" t="str">
        <x:f>IF(D470="","",D470+273.15)</x:f>
      </x:c>
      <x:c r="F470" s="44" t="str">
        <x:f>IF(OR(C470="",D470="",C469=""),"",(C470-C469)/60)</x:f>
      </x:c>
      <x:c r="G470" s="44" t="str">
        <x:f>IF(D470="","",EXP(-Configuracion!$B$4/Configuracion!$B$5*(1/AVERAGE(E469:E470)-1/(Configuracion!$B$3+273.15))))</x:f>
      </x:c>
      <x:c r="H470" s="44" t="str">
        <x:f>IF(D470="","",F470*G470)</x:f>
      </x:c>
      <x:c r="I470" s="44" t="str">
        <x:f>IF(D470="","",I469+H470)</x:f>
      </x:c>
      <x:c r="J470" s="46" t="str">
        <x:f>IF(D470="","",MIN(1,I470/Configuracion!$B$11))</x:f>
      </x:c>
      <x:c r="K470" s="48" t="str">
        <x:f>IF(D470="","",MAX(0,(Configuracion!$B$11-I470)/G470))</x:f>
      </x:c>
      <x:c r="L470" s="73" t="str">
        <x:f>IF(D470="","",C470+K470*60)</x:f>
      </x:c>
      <x:c r="M470" t="str">
        <x:f>IF(D470="","",IF(J470&gt;=Configuracion!$B$13,"DESLIZAR",IF(J470&gt;=Configuracion!$B$12,"PREPARARSE","NO DESLIZAR")))</x:f>
      </x:c>
      <x:c r="N470" s="41" t="str">
        <x:f>IF(D470="","",D470-$D$8)</x:f>
      </x:c>
      <x:c r="O470" s="46" t="str">
        <x:f>IF(D470="","",MAX(0,MIN(1,N470/Configuracion!$B$10)))</x:f>
      </x:c>
    </x:row>
    <x:row r="471">
      <x:c r="A471" s="34"/>
      <x:c r="B471" s="36"/>
      <x:c r="C471" s="72"/>
      <x:c r="D471" s="71"/>
      <x:c r="E471" s="41" t="str">
        <x:f>IF(D471="","",D471+273.15)</x:f>
      </x:c>
      <x:c r="F471" s="44" t="str">
        <x:f>IF(OR(C471="",D471="",C470=""),"",(C471-C470)/60)</x:f>
      </x:c>
      <x:c r="G471" s="44" t="str">
        <x:f>IF(D471="","",EXP(-Configuracion!$B$4/Configuracion!$B$5*(1/AVERAGE(E470:E471)-1/(Configuracion!$B$3+273.15))))</x:f>
      </x:c>
      <x:c r="H471" s="44" t="str">
        <x:f>IF(D471="","",F471*G471)</x:f>
      </x:c>
      <x:c r="I471" s="44" t="str">
        <x:f>IF(D471="","",I470+H471)</x:f>
      </x:c>
      <x:c r="J471" s="46" t="str">
        <x:f>IF(D471="","",MIN(1,I471/Configuracion!$B$11))</x:f>
      </x:c>
      <x:c r="K471" s="48" t="str">
        <x:f>IF(D471="","",MAX(0,(Configuracion!$B$11-I471)/G471))</x:f>
      </x:c>
      <x:c r="L471" s="73" t="str">
        <x:f>IF(D471="","",C471+K471*60)</x:f>
      </x:c>
      <x:c r="M471" t="str">
        <x:f>IF(D471="","",IF(J471&gt;=Configuracion!$B$13,"DESLIZAR",IF(J471&gt;=Configuracion!$B$12,"PREPARARSE","NO DESLIZAR")))</x:f>
      </x:c>
      <x:c r="N471" s="41" t="str">
        <x:f>IF(D471="","",D471-$D$8)</x:f>
      </x:c>
      <x:c r="O471" s="46" t="str">
        <x:f>IF(D471="","",MAX(0,MIN(1,N471/Configuracion!$B$10)))</x:f>
      </x:c>
    </x:row>
    <x:row r="472">
      <x:c r="A472" s="34"/>
      <x:c r="B472" s="36"/>
      <x:c r="C472" s="72"/>
      <x:c r="D472" s="71"/>
      <x:c r="E472" s="41" t="str">
        <x:f>IF(D472="","",D472+273.15)</x:f>
      </x:c>
      <x:c r="F472" s="44" t="str">
        <x:f>IF(OR(C472="",D472="",C471=""),"",(C472-C471)/60)</x:f>
      </x:c>
      <x:c r="G472" s="44" t="str">
        <x:f>IF(D472="","",EXP(-Configuracion!$B$4/Configuracion!$B$5*(1/AVERAGE(E471:E472)-1/(Configuracion!$B$3+273.15))))</x:f>
      </x:c>
      <x:c r="H472" s="44" t="str">
        <x:f>IF(D472="","",F472*G472)</x:f>
      </x:c>
      <x:c r="I472" s="44" t="str">
        <x:f>IF(D472="","",I471+H472)</x:f>
      </x:c>
      <x:c r="J472" s="46" t="str">
        <x:f>IF(D472="","",MIN(1,I472/Configuracion!$B$11))</x:f>
      </x:c>
      <x:c r="K472" s="48" t="str">
        <x:f>IF(D472="","",MAX(0,(Configuracion!$B$11-I472)/G472))</x:f>
      </x:c>
      <x:c r="L472" s="73" t="str">
        <x:f>IF(D472="","",C472+K472*60)</x:f>
      </x:c>
      <x:c r="M472" t="str">
        <x:f>IF(D472="","",IF(J472&gt;=Configuracion!$B$13,"DESLIZAR",IF(J472&gt;=Configuracion!$B$12,"PREPARARSE","NO DESLIZAR")))</x:f>
      </x:c>
      <x:c r="N472" s="41" t="str">
        <x:f>IF(D472="","",D472-$D$8)</x:f>
      </x:c>
      <x:c r="O472" s="46" t="str">
        <x:f>IF(D472="","",MAX(0,MIN(1,N472/Configuracion!$B$10)))</x:f>
      </x:c>
    </x:row>
    <x:row r="473">
      <x:c r="A473" s="34"/>
      <x:c r="B473" s="36"/>
      <x:c r="C473" s="72"/>
      <x:c r="D473" s="71"/>
      <x:c r="E473" s="41" t="str">
        <x:f>IF(D473="","",D473+273.15)</x:f>
      </x:c>
      <x:c r="F473" s="44" t="str">
        <x:f>IF(OR(C473="",D473="",C472=""),"",(C473-C472)/60)</x:f>
      </x:c>
      <x:c r="G473" s="44" t="str">
        <x:f>IF(D473="","",EXP(-Configuracion!$B$4/Configuracion!$B$5*(1/AVERAGE(E472:E473)-1/(Configuracion!$B$3+273.15))))</x:f>
      </x:c>
      <x:c r="H473" s="44" t="str">
        <x:f>IF(D473="","",F473*G473)</x:f>
      </x:c>
      <x:c r="I473" s="44" t="str">
        <x:f>IF(D473="","",I472+H473)</x:f>
      </x:c>
      <x:c r="J473" s="46" t="str">
        <x:f>IF(D473="","",MIN(1,I473/Configuracion!$B$11))</x:f>
      </x:c>
      <x:c r="K473" s="48" t="str">
        <x:f>IF(D473="","",MAX(0,(Configuracion!$B$11-I473)/G473))</x:f>
      </x:c>
      <x:c r="L473" s="73" t="str">
        <x:f>IF(D473="","",C473+K473*60)</x:f>
      </x:c>
      <x:c r="M473" t="str">
        <x:f>IF(D473="","",IF(J473&gt;=Configuracion!$B$13,"DESLIZAR",IF(J473&gt;=Configuracion!$B$12,"PREPARARSE","NO DESLIZAR")))</x:f>
      </x:c>
      <x:c r="N473" s="41" t="str">
        <x:f>IF(D473="","",D473-$D$8)</x:f>
      </x:c>
      <x:c r="O473" s="46" t="str">
        <x:f>IF(D473="","",MAX(0,MIN(1,N473/Configuracion!$B$10)))</x:f>
      </x:c>
    </x:row>
    <x:row r="474">
      <x:c r="A474" s="34"/>
      <x:c r="B474" s="36"/>
      <x:c r="C474" s="72"/>
      <x:c r="D474" s="71"/>
      <x:c r="E474" s="41" t="str">
        <x:f>IF(D474="","",D474+273.15)</x:f>
      </x:c>
      <x:c r="F474" s="44" t="str">
        <x:f>IF(OR(C474="",D474="",C473=""),"",(C474-C473)/60)</x:f>
      </x:c>
      <x:c r="G474" s="44" t="str">
        <x:f>IF(D474="","",EXP(-Configuracion!$B$4/Configuracion!$B$5*(1/AVERAGE(E473:E474)-1/(Configuracion!$B$3+273.15))))</x:f>
      </x:c>
      <x:c r="H474" s="44" t="str">
        <x:f>IF(D474="","",F474*G474)</x:f>
      </x:c>
      <x:c r="I474" s="44" t="str">
        <x:f>IF(D474="","",I473+H474)</x:f>
      </x:c>
      <x:c r="J474" s="46" t="str">
        <x:f>IF(D474="","",MIN(1,I474/Configuracion!$B$11))</x:f>
      </x:c>
      <x:c r="K474" s="48" t="str">
        <x:f>IF(D474="","",MAX(0,(Configuracion!$B$11-I474)/G474))</x:f>
      </x:c>
      <x:c r="L474" s="73" t="str">
        <x:f>IF(D474="","",C474+K474*60)</x:f>
      </x:c>
      <x:c r="M474" t="str">
        <x:f>IF(D474="","",IF(J474&gt;=Configuracion!$B$13,"DESLIZAR",IF(J474&gt;=Configuracion!$B$12,"PREPARARSE","NO DESLIZAR")))</x:f>
      </x:c>
      <x:c r="N474" s="41" t="str">
        <x:f>IF(D474="","",D474-$D$8)</x:f>
      </x:c>
      <x:c r="O474" s="46" t="str">
        <x:f>IF(D474="","",MAX(0,MIN(1,N474/Configuracion!$B$10)))</x:f>
      </x:c>
    </x:row>
    <x:row r="475">
      <x:c r="A475" s="34"/>
      <x:c r="B475" s="36"/>
      <x:c r="C475" s="72"/>
      <x:c r="D475" s="71"/>
      <x:c r="E475" s="41" t="str">
        <x:f>IF(D475="","",D475+273.15)</x:f>
      </x:c>
      <x:c r="F475" s="44" t="str">
        <x:f>IF(OR(C475="",D475="",C474=""),"",(C475-C474)/60)</x:f>
      </x:c>
      <x:c r="G475" s="44" t="str">
        <x:f>IF(D475="","",EXP(-Configuracion!$B$4/Configuracion!$B$5*(1/AVERAGE(E474:E475)-1/(Configuracion!$B$3+273.15))))</x:f>
      </x:c>
      <x:c r="H475" s="44" t="str">
        <x:f>IF(D475="","",F475*G475)</x:f>
      </x:c>
      <x:c r="I475" s="44" t="str">
        <x:f>IF(D475="","",I474+H475)</x:f>
      </x:c>
      <x:c r="J475" s="46" t="str">
        <x:f>IF(D475="","",MIN(1,I475/Configuracion!$B$11))</x:f>
      </x:c>
      <x:c r="K475" s="48" t="str">
        <x:f>IF(D475="","",MAX(0,(Configuracion!$B$11-I475)/G475))</x:f>
      </x:c>
      <x:c r="L475" s="73" t="str">
        <x:f>IF(D475="","",C475+K475*60)</x:f>
      </x:c>
      <x:c r="M475" t="str">
        <x:f>IF(D475="","",IF(J475&gt;=Configuracion!$B$13,"DESLIZAR",IF(J475&gt;=Configuracion!$B$12,"PREPARARSE","NO DESLIZAR")))</x:f>
      </x:c>
      <x:c r="N475" s="41" t="str">
        <x:f>IF(D475="","",D475-$D$8)</x:f>
      </x:c>
      <x:c r="O475" s="46" t="str">
        <x:f>IF(D475="","",MAX(0,MIN(1,N475/Configuracion!$B$10)))</x:f>
      </x:c>
    </x:row>
    <x:row r="476">
      <x:c r="A476" s="34"/>
      <x:c r="B476" s="36"/>
      <x:c r="C476" s="72"/>
      <x:c r="D476" s="71"/>
      <x:c r="E476" s="41" t="str">
        <x:f>IF(D476="","",D476+273.15)</x:f>
      </x:c>
      <x:c r="F476" s="44" t="str">
        <x:f>IF(OR(C476="",D476="",C475=""),"",(C476-C475)/60)</x:f>
      </x:c>
      <x:c r="G476" s="44" t="str">
        <x:f>IF(D476="","",EXP(-Configuracion!$B$4/Configuracion!$B$5*(1/AVERAGE(E475:E476)-1/(Configuracion!$B$3+273.15))))</x:f>
      </x:c>
      <x:c r="H476" s="44" t="str">
        <x:f>IF(D476="","",F476*G476)</x:f>
      </x:c>
      <x:c r="I476" s="44" t="str">
        <x:f>IF(D476="","",I475+H476)</x:f>
      </x:c>
      <x:c r="J476" s="46" t="str">
        <x:f>IF(D476="","",MIN(1,I476/Configuracion!$B$11))</x:f>
      </x:c>
      <x:c r="K476" s="48" t="str">
        <x:f>IF(D476="","",MAX(0,(Configuracion!$B$11-I476)/G476))</x:f>
      </x:c>
      <x:c r="L476" s="73" t="str">
        <x:f>IF(D476="","",C476+K476*60)</x:f>
      </x:c>
      <x:c r="M476" t="str">
        <x:f>IF(D476="","",IF(J476&gt;=Configuracion!$B$13,"DESLIZAR",IF(J476&gt;=Configuracion!$B$12,"PREPARARSE","NO DESLIZAR")))</x:f>
      </x:c>
      <x:c r="N476" s="41" t="str">
        <x:f>IF(D476="","",D476-$D$8)</x:f>
      </x:c>
      <x:c r="O476" s="46" t="str">
        <x:f>IF(D476="","",MAX(0,MIN(1,N476/Configuracion!$B$10)))</x:f>
      </x:c>
    </x:row>
    <x:row r="477">
      <x:c r="A477" s="34"/>
      <x:c r="B477" s="36"/>
      <x:c r="C477" s="72"/>
      <x:c r="D477" s="71"/>
      <x:c r="E477" s="41" t="str">
        <x:f>IF(D477="","",D477+273.15)</x:f>
      </x:c>
      <x:c r="F477" s="44" t="str">
        <x:f>IF(OR(C477="",D477="",C476=""),"",(C477-C476)/60)</x:f>
      </x:c>
      <x:c r="G477" s="44" t="str">
        <x:f>IF(D477="","",EXP(-Configuracion!$B$4/Configuracion!$B$5*(1/AVERAGE(E476:E477)-1/(Configuracion!$B$3+273.15))))</x:f>
      </x:c>
      <x:c r="H477" s="44" t="str">
        <x:f>IF(D477="","",F477*G477)</x:f>
      </x:c>
      <x:c r="I477" s="44" t="str">
        <x:f>IF(D477="","",I476+H477)</x:f>
      </x:c>
      <x:c r="J477" s="46" t="str">
        <x:f>IF(D477="","",MIN(1,I477/Configuracion!$B$11))</x:f>
      </x:c>
      <x:c r="K477" s="48" t="str">
        <x:f>IF(D477="","",MAX(0,(Configuracion!$B$11-I477)/G477))</x:f>
      </x:c>
      <x:c r="L477" s="73" t="str">
        <x:f>IF(D477="","",C477+K477*60)</x:f>
      </x:c>
      <x:c r="M477" t="str">
        <x:f>IF(D477="","",IF(J477&gt;=Configuracion!$B$13,"DESLIZAR",IF(J477&gt;=Configuracion!$B$12,"PREPARARSE","NO DESLIZAR")))</x:f>
      </x:c>
      <x:c r="N477" s="41" t="str">
        <x:f>IF(D477="","",D477-$D$8)</x:f>
      </x:c>
      <x:c r="O477" s="46" t="str">
        <x:f>IF(D477="","",MAX(0,MIN(1,N477/Configuracion!$B$10)))</x:f>
      </x:c>
    </x:row>
    <x:row r="478">
      <x:c r="A478" s="34"/>
      <x:c r="B478" s="36"/>
      <x:c r="C478" s="72"/>
      <x:c r="D478" s="71"/>
      <x:c r="E478" s="41" t="str">
        <x:f>IF(D478="","",D478+273.15)</x:f>
      </x:c>
      <x:c r="F478" s="44" t="str">
        <x:f>IF(OR(C478="",D478="",C477=""),"",(C478-C477)/60)</x:f>
      </x:c>
      <x:c r="G478" s="44" t="str">
        <x:f>IF(D478="","",EXP(-Configuracion!$B$4/Configuracion!$B$5*(1/AVERAGE(E477:E478)-1/(Configuracion!$B$3+273.15))))</x:f>
      </x:c>
      <x:c r="H478" s="44" t="str">
        <x:f>IF(D478="","",F478*G478)</x:f>
      </x:c>
      <x:c r="I478" s="44" t="str">
        <x:f>IF(D478="","",I477+H478)</x:f>
      </x:c>
      <x:c r="J478" s="46" t="str">
        <x:f>IF(D478="","",MIN(1,I478/Configuracion!$B$11))</x:f>
      </x:c>
      <x:c r="K478" s="48" t="str">
        <x:f>IF(D478="","",MAX(0,(Configuracion!$B$11-I478)/G478))</x:f>
      </x:c>
      <x:c r="L478" s="73" t="str">
        <x:f>IF(D478="","",C478+K478*60)</x:f>
      </x:c>
      <x:c r="M478" t="str">
        <x:f>IF(D478="","",IF(J478&gt;=Configuracion!$B$13,"DESLIZAR",IF(J478&gt;=Configuracion!$B$12,"PREPARARSE","NO DESLIZAR")))</x:f>
      </x:c>
      <x:c r="N478" s="41" t="str">
        <x:f>IF(D478="","",D478-$D$8)</x:f>
      </x:c>
      <x:c r="O478" s="46" t="str">
        <x:f>IF(D478="","",MAX(0,MIN(1,N478/Configuracion!$B$10)))</x:f>
      </x:c>
    </x:row>
    <x:row r="479">
      <x:c r="A479" s="34"/>
      <x:c r="B479" s="36"/>
      <x:c r="C479" s="72"/>
      <x:c r="D479" s="71"/>
      <x:c r="E479" s="41" t="str">
        <x:f>IF(D479="","",D479+273.15)</x:f>
      </x:c>
      <x:c r="F479" s="44" t="str">
        <x:f>IF(OR(C479="",D479="",C478=""),"",(C479-C478)/60)</x:f>
      </x:c>
      <x:c r="G479" s="44" t="str">
        <x:f>IF(D479="","",EXP(-Configuracion!$B$4/Configuracion!$B$5*(1/AVERAGE(E478:E479)-1/(Configuracion!$B$3+273.15))))</x:f>
      </x:c>
      <x:c r="H479" s="44" t="str">
        <x:f>IF(D479="","",F479*G479)</x:f>
      </x:c>
      <x:c r="I479" s="44" t="str">
        <x:f>IF(D479="","",I478+H479)</x:f>
      </x:c>
      <x:c r="J479" s="46" t="str">
        <x:f>IF(D479="","",MIN(1,I479/Configuracion!$B$11))</x:f>
      </x:c>
      <x:c r="K479" s="48" t="str">
        <x:f>IF(D479="","",MAX(0,(Configuracion!$B$11-I479)/G479))</x:f>
      </x:c>
      <x:c r="L479" s="73" t="str">
        <x:f>IF(D479="","",C479+K479*60)</x:f>
      </x:c>
      <x:c r="M479" t="str">
        <x:f>IF(D479="","",IF(J479&gt;=Configuracion!$B$13,"DESLIZAR",IF(J479&gt;=Configuracion!$B$12,"PREPARARSE","NO DESLIZAR")))</x:f>
      </x:c>
      <x:c r="N479" s="41" t="str">
        <x:f>IF(D479="","",D479-$D$8)</x:f>
      </x:c>
      <x:c r="O479" s="46" t="str">
        <x:f>IF(D479="","",MAX(0,MIN(1,N479/Configuracion!$B$10)))</x:f>
      </x:c>
    </x:row>
    <x:row r="480">
      <x:c r="A480" s="34"/>
      <x:c r="B480" s="36"/>
      <x:c r="C480" s="72"/>
      <x:c r="D480" s="71"/>
      <x:c r="E480" s="41" t="str">
        <x:f>IF(D480="","",D480+273.15)</x:f>
      </x:c>
      <x:c r="F480" s="44" t="str">
        <x:f>IF(OR(C480="",D480="",C479=""),"",(C480-C479)/60)</x:f>
      </x:c>
      <x:c r="G480" s="44" t="str">
        <x:f>IF(D480="","",EXP(-Configuracion!$B$4/Configuracion!$B$5*(1/AVERAGE(E479:E480)-1/(Configuracion!$B$3+273.15))))</x:f>
      </x:c>
      <x:c r="H480" s="44" t="str">
        <x:f>IF(D480="","",F480*G480)</x:f>
      </x:c>
      <x:c r="I480" s="44" t="str">
        <x:f>IF(D480="","",I479+H480)</x:f>
      </x:c>
      <x:c r="J480" s="46" t="str">
        <x:f>IF(D480="","",MIN(1,I480/Configuracion!$B$11))</x:f>
      </x:c>
      <x:c r="K480" s="48" t="str">
        <x:f>IF(D480="","",MAX(0,(Configuracion!$B$11-I480)/G480))</x:f>
      </x:c>
      <x:c r="L480" s="73" t="str">
        <x:f>IF(D480="","",C480+K480*60)</x:f>
      </x:c>
      <x:c r="M480" t="str">
        <x:f>IF(D480="","",IF(J480&gt;=Configuracion!$B$13,"DESLIZAR",IF(J480&gt;=Configuracion!$B$12,"PREPARARSE","NO DESLIZAR")))</x:f>
      </x:c>
      <x:c r="N480" s="41" t="str">
        <x:f>IF(D480="","",D480-$D$8)</x:f>
      </x:c>
      <x:c r="O480" s="46" t="str">
        <x:f>IF(D480="","",MAX(0,MIN(1,N480/Configuracion!$B$10)))</x:f>
      </x:c>
    </x:row>
    <x:row r="481">
      <x:c r="A481" s="34"/>
      <x:c r="B481" s="36"/>
      <x:c r="C481" s="72"/>
      <x:c r="D481" s="71"/>
      <x:c r="E481" s="41" t="str">
        <x:f>IF(D481="","",D481+273.15)</x:f>
      </x:c>
      <x:c r="F481" s="44" t="str">
        <x:f>IF(OR(C481="",D481="",C480=""),"",(C481-C480)/60)</x:f>
      </x:c>
      <x:c r="G481" s="44" t="str">
        <x:f>IF(D481="","",EXP(-Configuracion!$B$4/Configuracion!$B$5*(1/AVERAGE(E480:E481)-1/(Configuracion!$B$3+273.15))))</x:f>
      </x:c>
      <x:c r="H481" s="44" t="str">
        <x:f>IF(D481="","",F481*G481)</x:f>
      </x:c>
      <x:c r="I481" s="44" t="str">
        <x:f>IF(D481="","",I480+H481)</x:f>
      </x:c>
      <x:c r="J481" s="46" t="str">
        <x:f>IF(D481="","",MIN(1,I481/Configuracion!$B$11))</x:f>
      </x:c>
      <x:c r="K481" s="48" t="str">
        <x:f>IF(D481="","",MAX(0,(Configuracion!$B$11-I481)/G481))</x:f>
      </x:c>
      <x:c r="L481" s="73" t="str">
        <x:f>IF(D481="","",C481+K481*60)</x:f>
      </x:c>
      <x:c r="M481" t="str">
        <x:f>IF(D481="","",IF(J481&gt;=Configuracion!$B$13,"DESLIZAR",IF(J481&gt;=Configuracion!$B$12,"PREPARARSE","NO DESLIZAR")))</x:f>
      </x:c>
      <x:c r="N481" s="41" t="str">
        <x:f>IF(D481="","",D481-$D$8)</x:f>
      </x:c>
      <x:c r="O481" s="46" t="str">
        <x:f>IF(D481="","",MAX(0,MIN(1,N481/Configuracion!$B$10)))</x:f>
      </x:c>
    </x:row>
    <x:row r="482">
      <x:c r="A482" s="34"/>
      <x:c r="B482" s="36"/>
      <x:c r="C482" s="72"/>
      <x:c r="D482" s="71"/>
      <x:c r="E482" s="41" t="str">
        <x:f>IF(D482="","",D482+273.15)</x:f>
      </x:c>
      <x:c r="F482" s="44" t="str">
        <x:f>IF(OR(C482="",D482="",C481=""),"",(C482-C481)/60)</x:f>
      </x:c>
      <x:c r="G482" s="44" t="str">
        <x:f>IF(D482="","",EXP(-Configuracion!$B$4/Configuracion!$B$5*(1/AVERAGE(E481:E482)-1/(Configuracion!$B$3+273.15))))</x:f>
      </x:c>
      <x:c r="H482" s="44" t="str">
        <x:f>IF(D482="","",F482*G482)</x:f>
      </x:c>
      <x:c r="I482" s="44" t="str">
        <x:f>IF(D482="","",I481+H482)</x:f>
      </x:c>
      <x:c r="J482" s="46" t="str">
        <x:f>IF(D482="","",MIN(1,I482/Configuracion!$B$11))</x:f>
      </x:c>
      <x:c r="K482" s="48" t="str">
        <x:f>IF(D482="","",MAX(0,(Configuracion!$B$11-I482)/G482))</x:f>
      </x:c>
      <x:c r="L482" s="73" t="str">
        <x:f>IF(D482="","",C482+K482*60)</x:f>
      </x:c>
      <x:c r="M482" t="str">
        <x:f>IF(D482="","",IF(J482&gt;=Configuracion!$B$13,"DESLIZAR",IF(J482&gt;=Configuracion!$B$12,"PREPARARSE","NO DESLIZAR")))</x:f>
      </x:c>
      <x:c r="N482" s="41" t="str">
        <x:f>IF(D482="","",D482-$D$8)</x:f>
      </x:c>
      <x:c r="O482" s="46" t="str">
        <x:f>IF(D482="","",MAX(0,MIN(1,N482/Configuracion!$B$10)))</x:f>
      </x:c>
    </x:row>
    <x:row r="483">
      <x:c r="A483" s="34"/>
      <x:c r="B483" s="36"/>
      <x:c r="C483" s="72"/>
      <x:c r="D483" s="71"/>
      <x:c r="E483" s="41" t="str">
        <x:f>IF(D483="","",D483+273.15)</x:f>
      </x:c>
      <x:c r="F483" s="44" t="str">
        <x:f>IF(OR(C483="",D483="",C482=""),"",(C483-C482)/60)</x:f>
      </x:c>
      <x:c r="G483" s="44" t="str">
        <x:f>IF(D483="","",EXP(-Configuracion!$B$4/Configuracion!$B$5*(1/AVERAGE(E482:E483)-1/(Configuracion!$B$3+273.15))))</x:f>
      </x:c>
      <x:c r="H483" s="44" t="str">
        <x:f>IF(D483="","",F483*G483)</x:f>
      </x:c>
      <x:c r="I483" s="44" t="str">
        <x:f>IF(D483="","",I482+H483)</x:f>
      </x:c>
      <x:c r="J483" s="46" t="str">
        <x:f>IF(D483="","",MIN(1,I483/Configuracion!$B$11))</x:f>
      </x:c>
      <x:c r="K483" s="48" t="str">
        <x:f>IF(D483="","",MAX(0,(Configuracion!$B$11-I483)/G483))</x:f>
      </x:c>
      <x:c r="L483" s="73" t="str">
        <x:f>IF(D483="","",C483+K483*60)</x:f>
      </x:c>
      <x:c r="M483" t="str">
        <x:f>IF(D483="","",IF(J483&gt;=Configuracion!$B$13,"DESLIZAR",IF(J483&gt;=Configuracion!$B$12,"PREPARARSE","NO DESLIZAR")))</x:f>
      </x:c>
      <x:c r="N483" s="41" t="str">
        <x:f>IF(D483="","",D483-$D$8)</x:f>
      </x:c>
      <x:c r="O483" s="46" t="str">
        <x:f>IF(D483="","",MAX(0,MIN(1,N483/Configuracion!$B$10)))</x:f>
      </x:c>
    </x:row>
    <x:row r="484">
      <x:c r="A484" s="34"/>
      <x:c r="B484" s="36"/>
      <x:c r="C484" s="72"/>
      <x:c r="D484" s="71"/>
      <x:c r="E484" s="41" t="str">
        <x:f>IF(D484="","",D484+273.15)</x:f>
      </x:c>
      <x:c r="F484" s="44" t="str">
        <x:f>IF(OR(C484="",D484="",C483=""),"",(C484-C483)/60)</x:f>
      </x:c>
      <x:c r="G484" s="44" t="str">
        <x:f>IF(D484="","",EXP(-Configuracion!$B$4/Configuracion!$B$5*(1/AVERAGE(E483:E484)-1/(Configuracion!$B$3+273.15))))</x:f>
      </x:c>
      <x:c r="H484" s="44" t="str">
        <x:f>IF(D484="","",F484*G484)</x:f>
      </x:c>
      <x:c r="I484" s="44" t="str">
        <x:f>IF(D484="","",I483+H484)</x:f>
      </x:c>
      <x:c r="J484" s="46" t="str">
        <x:f>IF(D484="","",MIN(1,I484/Configuracion!$B$11))</x:f>
      </x:c>
      <x:c r="K484" s="48" t="str">
        <x:f>IF(D484="","",MAX(0,(Configuracion!$B$11-I484)/G484))</x:f>
      </x:c>
      <x:c r="L484" s="73" t="str">
        <x:f>IF(D484="","",C484+K484*60)</x:f>
      </x:c>
      <x:c r="M484" t="str">
        <x:f>IF(D484="","",IF(J484&gt;=Configuracion!$B$13,"DESLIZAR",IF(J484&gt;=Configuracion!$B$12,"PREPARARSE","NO DESLIZAR")))</x:f>
      </x:c>
      <x:c r="N484" s="41" t="str">
        <x:f>IF(D484="","",D484-$D$8)</x:f>
      </x:c>
      <x:c r="O484" s="46" t="str">
        <x:f>IF(D484="","",MAX(0,MIN(1,N484/Configuracion!$B$10)))</x:f>
      </x:c>
    </x:row>
    <x:row r="485">
      <x:c r="A485" s="34"/>
      <x:c r="B485" s="36"/>
      <x:c r="C485" s="72"/>
      <x:c r="D485" s="71"/>
      <x:c r="E485" s="41" t="str">
        <x:f>IF(D485="","",D485+273.15)</x:f>
      </x:c>
      <x:c r="F485" s="44" t="str">
        <x:f>IF(OR(C485="",D485="",C484=""),"",(C485-C484)/60)</x:f>
      </x:c>
      <x:c r="G485" s="44" t="str">
        <x:f>IF(D485="","",EXP(-Configuracion!$B$4/Configuracion!$B$5*(1/AVERAGE(E484:E485)-1/(Configuracion!$B$3+273.15))))</x:f>
      </x:c>
      <x:c r="H485" s="44" t="str">
        <x:f>IF(D485="","",F485*G485)</x:f>
      </x:c>
      <x:c r="I485" s="44" t="str">
        <x:f>IF(D485="","",I484+H485)</x:f>
      </x:c>
      <x:c r="J485" s="46" t="str">
        <x:f>IF(D485="","",MIN(1,I485/Configuracion!$B$11))</x:f>
      </x:c>
      <x:c r="K485" s="48" t="str">
        <x:f>IF(D485="","",MAX(0,(Configuracion!$B$11-I485)/G485))</x:f>
      </x:c>
      <x:c r="L485" s="73" t="str">
        <x:f>IF(D485="","",C485+K485*60)</x:f>
      </x:c>
      <x:c r="M485" t="str">
        <x:f>IF(D485="","",IF(J485&gt;=Configuracion!$B$13,"DESLIZAR",IF(J485&gt;=Configuracion!$B$12,"PREPARARSE","NO DESLIZAR")))</x:f>
      </x:c>
      <x:c r="N485" s="41" t="str">
        <x:f>IF(D485="","",D485-$D$8)</x:f>
      </x:c>
      <x:c r="O485" s="46" t="str">
        <x:f>IF(D485="","",MAX(0,MIN(1,N485/Configuracion!$B$10)))</x:f>
      </x:c>
    </x:row>
    <x:row r="486">
      <x:c r="A486" s="34"/>
      <x:c r="B486" s="36"/>
      <x:c r="C486" s="72"/>
      <x:c r="D486" s="71"/>
      <x:c r="E486" s="41" t="str">
        <x:f>IF(D486="","",D486+273.15)</x:f>
      </x:c>
      <x:c r="F486" s="44" t="str">
        <x:f>IF(OR(C486="",D486="",C485=""),"",(C486-C485)/60)</x:f>
      </x:c>
      <x:c r="G486" s="44" t="str">
        <x:f>IF(D486="","",EXP(-Configuracion!$B$4/Configuracion!$B$5*(1/AVERAGE(E485:E486)-1/(Configuracion!$B$3+273.15))))</x:f>
      </x:c>
      <x:c r="H486" s="44" t="str">
        <x:f>IF(D486="","",F486*G486)</x:f>
      </x:c>
      <x:c r="I486" s="44" t="str">
        <x:f>IF(D486="","",I485+H486)</x:f>
      </x:c>
      <x:c r="J486" s="46" t="str">
        <x:f>IF(D486="","",MIN(1,I486/Configuracion!$B$11))</x:f>
      </x:c>
      <x:c r="K486" s="48" t="str">
        <x:f>IF(D486="","",MAX(0,(Configuracion!$B$11-I486)/G486))</x:f>
      </x:c>
      <x:c r="L486" s="73" t="str">
        <x:f>IF(D486="","",C486+K486*60)</x:f>
      </x:c>
      <x:c r="M486" t="str">
        <x:f>IF(D486="","",IF(J486&gt;=Configuracion!$B$13,"DESLIZAR",IF(J486&gt;=Configuracion!$B$12,"PREPARARSE","NO DESLIZAR")))</x:f>
      </x:c>
      <x:c r="N486" s="41" t="str">
        <x:f>IF(D486="","",D486-$D$8)</x:f>
      </x:c>
      <x:c r="O486" s="46" t="str">
        <x:f>IF(D486="","",MAX(0,MIN(1,N486/Configuracion!$B$10)))</x:f>
      </x:c>
    </x:row>
    <x:row r="487">
      <x:c r="A487" s="34"/>
      <x:c r="B487" s="36"/>
      <x:c r="C487" s="72"/>
      <x:c r="D487" s="71"/>
      <x:c r="E487" s="41" t="str">
        <x:f>IF(D487="","",D487+273.15)</x:f>
      </x:c>
      <x:c r="F487" s="44" t="str">
        <x:f>IF(OR(C487="",D487="",C486=""),"",(C487-C486)/60)</x:f>
      </x:c>
      <x:c r="G487" s="44" t="str">
        <x:f>IF(D487="","",EXP(-Configuracion!$B$4/Configuracion!$B$5*(1/AVERAGE(E486:E487)-1/(Configuracion!$B$3+273.15))))</x:f>
      </x:c>
      <x:c r="H487" s="44" t="str">
        <x:f>IF(D487="","",F487*G487)</x:f>
      </x:c>
      <x:c r="I487" s="44" t="str">
        <x:f>IF(D487="","",I486+H487)</x:f>
      </x:c>
      <x:c r="J487" s="46" t="str">
        <x:f>IF(D487="","",MIN(1,I487/Configuracion!$B$11))</x:f>
      </x:c>
      <x:c r="K487" s="48" t="str">
        <x:f>IF(D487="","",MAX(0,(Configuracion!$B$11-I487)/G487))</x:f>
      </x:c>
      <x:c r="L487" s="73" t="str">
        <x:f>IF(D487="","",C487+K487*60)</x:f>
      </x:c>
      <x:c r="M487" t="str">
        <x:f>IF(D487="","",IF(J487&gt;=Configuracion!$B$13,"DESLIZAR",IF(J487&gt;=Configuracion!$B$12,"PREPARARSE","NO DESLIZAR")))</x:f>
      </x:c>
      <x:c r="N487" s="41" t="str">
        <x:f>IF(D487="","",D487-$D$8)</x:f>
      </x:c>
      <x:c r="O487" s="46" t="str">
        <x:f>IF(D487="","",MAX(0,MIN(1,N487/Configuracion!$B$10)))</x:f>
      </x:c>
    </x:row>
    <x:row r="488">
      <x:c r="A488" s="34"/>
      <x:c r="B488" s="36"/>
      <x:c r="C488" s="72"/>
      <x:c r="D488" s="71"/>
      <x:c r="E488" s="41" t="str">
        <x:f>IF(D488="","",D488+273.15)</x:f>
      </x:c>
      <x:c r="F488" s="44" t="str">
        <x:f>IF(OR(C488="",D488="",C487=""),"",(C488-C487)/60)</x:f>
      </x:c>
      <x:c r="G488" s="44" t="str">
        <x:f>IF(D488="","",EXP(-Configuracion!$B$4/Configuracion!$B$5*(1/AVERAGE(E487:E488)-1/(Configuracion!$B$3+273.15))))</x:f>
      </x:c>
      <x:c r="H488" s="44" t="str">
        <x:f>IF(D488="","",F488*G488)</x:f>
      </x:c>
      <x:c r="I488" s="44" t="str">
        <x:f>IF(D488="","",I487+H488)</x:f>
      </x:c>
      <x:c r="J488" s="46" t="str">
        <x:f>IF(D488="","",MIN(1,I488/Configuracion!$B$11))</x:f>
      </x:c>
      <x:c r="K488" s="48" t="str">
        <x:f>IF(D488="","",MAX(0,(Configuracion!$B$11-I488)/G488))</x:f>
      </x:c>
      <x:c r="L488" s="73" t="str">
        <x:f>IF(D488="","",C488+K488*60)</x:f>
      </x:c>
      <x:c r="M488" t="str">
        <x:f>IF(D488="","",IF(J488&gt;=Configuracion!$B$13,"DESLIZAR",IF(J488&gt;=Configuracion!$B$12,"PREPARARSE","NO DESLIZAR")))</x:f>
      </x:c>
      <x:c r="N488" s="41" t="str">
        <x:f>IF(D488="","",D488-$D$8)</x:f>
      </x:c>
      <x:c r="O488" s="46" t="str">
        <x:f>IF(D488="","",MAX(0,MIN(1,N488/Configuracion!$B$10)))</x:f>
      </x:c>
    </x:row>
    <x:row r="489">
      <x:c r="A489" s="34"/>
      <x:c r="B489" s="36"/>
      <x:c r="C489" s="72"/>
      <x:c r="D489" s="71"/>
      <x:c r="E489" s="41" t="str">
        <x:f>IF(D489="","",D489+273.15)</x:f>
      </x:c>
      <x:c r="F489" s="44" t="str">
        <x:f>IF(OR(C489="",D489="",C488=""),"",(C489-C488)/60)</x:f>
      </x:c>
      <x:c r="G489" s="44" t="str">
        <x:f>IF(D489="","",EXP(-Configuracion!$B$4/Configuracion!$B$5*(1/AVERAGE(E488:E489)-1/(Configuracion!$B$3+273.15))))</x:f>
      </x:c>
      <x:c r="H489" s="44" t="str">
        <x:f>IF(D489="","",F489*G489)</x:f>
      </x:c>
      <x:c r="I489" s="44" t="str">
        <x:f>IF(D489="","",I488+H489)</x:f>
      </x:c>
      <x:c r="J489" s="46" t="str">
        <x:f>IF(D489="","",MIN(1,I489/Configuracion!$B$11))</x:f>
      </x:c>
      <x:c r="K489" s="48" t="str">
        <x:f>IF(D489="","",MAX(0,(Configuracion!$B$11-I489)/G489))</x:f>
      </x:c>
      <x:c r="L489" s="73" t="str">
        <x:f>IF(D489="","",C489+K489*60)</x:f>
      </x:c>
      <x:c r="M489" t="str">
        <x:f>IF(D489="","",IF(J489&gt;=Configuracion!$B$13,"DESLIZAR",IF(J489&gt;=Configuracion!$B$12,"PREPARARSE","NO DESLIZAR")))</x:f>
      </x:c>
      <x:c r="N489" s="41" t="str">
        <x:f>IF(D489="","",D489-$D$8)</x:f>
      </x:c>
      <x:c r="O489" s="46" t="str">
        <x:f>IF(D489="","",MAX(0,MIN(1,N489/Configuracion!$B$10)))</x:f>
      </x:c>
    </x:row>
    <x:row r="490">
      <x:c r="A490" s="34"/>
      <x:c r="B490" s="36"/>
      <x:c r="C490" s="72"/>
      <x:c r="D490" s="71"/>
      <x:c r="E490" s="41" t="str">
        <x:f>IF(D490="","",D490+273.15)</x:f>
      </x:c>
      <x:c r="F490" s="44" t="str">
        <x:f>IF(OR(C490="",D490="",C489=""),"",(C490-C489)/60)</x:f>
      </x:c>
      <x:c r="G490" s="44" t="str">
        <x:f>IF(D490="","",EXP(-Configuracion!$B$4/Configuracion!$B$5*(1/AVERAGE(E489:E490)-1/(Configuracion!$B$3+273.15))))</x:f>
      </x:c>
      <x:c r="H490" s="44" t="str">
        <x:f>IF(D490="","",F490*G490)</x:f>
      </x:c>
      <x:c r="I490" s="44" t="str">
        <x:f>IF(D490="","",I489+H490)</x:f>
      </x:c>
      <x:c r="J490" s="46" t="str">
        <x:f>IF(D490="","",MIN(1,I490/Configuracion!$B$11))</x:f>
      </x:c>
      <x:c r="K490" s="48" t="str">
        <x:f>IF(D490="","",MAX(0,(Configuracion!$B$11-I490)/G490))</x:f>
      </x:c>
      <x:c r="L490" s="73" t="str">
        <x:f>IF(D490="","",C490+K490*60)</x:f>
      </x:c>
      <x:c r="M490" t="str">
        <x:f>IF(D490="","",IF(J490&gt;=Configuracion!$B$13,"DESLIZAR",IF(J490&gt;=Configuracion!$B$12,"PREPARARSE","NO DESLIZAR")))</x:f>
      </x:c>
      <x:c r="N490" s="41" t="str">
        <x:f>IF(D490="","",D490-$D$8)</x:f>
      </x:c>
      <x:c r="O490" s="46" t="str">
        <x:f>IF(D490="","",MAX(0,MIN(1,N490/Configuracion!$B$10)))</x:f>
      </x:c>
    </x:row>
    <x:row r="491">
      <x:c r="A491" s="34"/>
      <x:c r="B491" s="36"/>
      <x:c r="C491" s="72"/>
      <x:c r="D491" s="71"/>
      <x:c r="E491" s="41" t="str">
        <x:f>IF(D491="","",D491+273.15)</x:f>
      </x:c>
      <x:c r="F491" s="44" t="str">
        <x:f>IF(OR(C491="",D491="",C490=""),"",(C491-C490)/60)</x:f>
      </x:c>
      <x:c r="G491" s="44" t="str">
        <x:f>IF(D491="","",EXP(-Configuracion!$B$4/Configuracion!$B$5*(1/AVERAGE(E490:E491)-1/(Configuracion!$B$3+273.15))))</x:f>
      </x:c>
      <x:c r="H491" s="44" t="str">
        <x:f>IF(D491="","",F491*G491)</x:f>
      </x:c>
      <x:c r="I491" s="44" t="str">
        <x:f>IF(D491="","",I490+H491)</x:f>
      </x:c>
      <x:c r="J491" s="46" t="str">
        <x:f>IF(D491="","",MIN(1,I491/Configuracion!$B$11))</x:f>
      </x:c>
      <x:c r="K491" s="48" t="str">
        <x:f>IF(D491="","",MAX(0,(Configuracion!$B$11-I491)/G491))</x:f>
      </x:c>
      <x:c r="L491" s="73" t="str">
        <x:f>IF(D491="","",C491+K491*60)</x:f>
      </x:c>
      <x:c r="M491" t="str">
        <x:f>IF(D491="","",IF(J491&gt;=Configuracion!$B$13,"DESLIZAR",IF(J491&gt;=Configuracion!$B$12,"PREPARARSE","NO DESLIZAR")))</x:f>
      </x:c>
      <x:c r="N491" s="41" t="str">
        <x:f>IF(D491="","",D491-$D$8)</x:f>
      </x:c>
      <x:c r="O491" s="46" t="str">
        <x:f>IF(D491="","",MAX(0,MIN(1,N491/Configuracion!$B$10)))</x:f>
      </x:c>
    </x:row>
    <x:row r="492">
      <x:c r="A492" s="34"/>
      <x:c r="B492" s="36"/>
      <x:c r="C492" s="72"/>
      <x:c r="D492" s="71"/>
      <x:c r="E492" s="41" t="str">
        <x:f>IF(D492="","",D492+273.15)</x:f>
      </x:c>
      <x:c r="F492" s="44" t="str">
        <x:f>IF(OR(C492="",D492="",C491=""),"",(C492-C491)/60)</x:f>
      </x:c>
      <x:c r="G492" s="44" t="str">
        <x:f>IF(D492="","",EXP(-Configuracion!$B$4/Configuracion!$B$5*(1/AVERAGE(E491:E492)-1/(Configuracion!$B$3+273.15))))</x:f>
      </x:c>
      <x:c r="H492" s="44" t="str">
        <x:f>IF(D492="","",F492*G492)</x:f>
      </x:c>
      <x:c r="I492" s="44" t="str">
        <x:f>IF(D492="","",I491+H492)</x:f>
      </x:c>
      <x:c r="J492" s="46" t="str">
        <x:f>IF(D492="","",MIN(1,I492/Configuracion!$B$11))</x:f>
      </x:c>
      <x:c r="K492" s="48" t="str">
        <x:f>IF(D492="","",MAX(0,(Configuracion!$B$11-I492)/G492))</x:f>
      </x:c>
      <x:c r="L492" s="73" t="str">
        <x:f>IF(D492="","",C492+K492*60)</x:f>
      </x:c>
      <x:c r="M492" t="str">
        <x:f>IF(D492="","",IF(J492&gt;=Configuracion!$B$13,"DESLIZAR",IF(J492&gt;=Configuracion!$B$12,"PREPARARSE","NO DESLIZAR")))</x:f>
      </x:c>
      <x:c r="N492" s="41" t="str">
        <x:f>IF(D492="","",D492-$D$8)</x:f>
      </x:c>
      <x:c r="O492" s="46" t="str">
        <x:f>IF(D492="","",MAX(0,MIN(1,N492/Configuracion!$B$10)))</x:f>
      </x:c>
    </x:row>
    <x:row r="493">
      <x:c r="A493" s="34"/>
      <x:c r="B493" s="36"/>
      <x:c r="C493" s="72"/>
      <x:c r="D493" s="71"/>
      <x:c r="E493" s="41" t="str">
        <x:f>IF(D493="","",D493+273.15)</x:f>
      </x:c>
      <x:c r="F493" s="44" t="str">
        <x:f>IF(OR(C493="",D493="",C492=""),"",(C493-C492)/60)</x:f>
      </x:c>
      <x:c r="G493" s="44" t="str">
        <x:f>IF(D493="","",EXP(-Configuracion!$B$4/Configuracion!$B$5*(1/AVERAGE(E492:E493)-1/(Configuracion!$B$3+273.15))))</x:f>
      </x:c>
      <x:c r="H493" s="44" t="str">
        <x:f>IF(D493="","",F493*G493)</x:f>
      </x:c>
      <x:c r="I493" s="44" t="str">
        <x:f>IF(D493="","",I492+H493)</x:f>
      </x:c>
      <x:c r="J493" s="46" t="str">
        <x:f>IF(D493="","",MIN(1,I493/Configuracion!$B$11))</x:f>
      </x:c>
      <x:c r="K493" s="48" t="str">
        <x:f>IF(D493="","",MAX(0,(Configuracion!$B$11-I493)/G493))</x:f>
      </x:c>
      <x:c r="L493" s="73" t="str">
        <x:f>IF(D493="","",C493+K493*60)</x:f>
      </x:c>
      <x:c r="M493" t="str">
        <x:f>IF(D493="","",IF(J493&gt;=Configuracion!$B$13,"DESLIZAR",IF(J493&gt;=Configuracion!$B$12,"PREPARARSE","NO DESLIZAR")))</x:f>
      </x:c>
      <x:c r="N493" s="41" t="str">
        <x:f>IF(D493="","",D493-$D$8)</x:f>
      </x:c>
      <x:c r="O493" s="46" t="str">
        <x:f>IF(D493="","",MAX(0,MIN(1,N493/Configuracion!$B$10)))</x:f>
      </x:c>
    </x:row>
    <x:row r="494">
      <x:c r="A494" s="34"/>
      <x:c r="B494" s="36"/>
      <x:c r="C494" s="72"/>
      <x:c r="D494" s="71"/>
      <x:c r="E494" s="41" t="str">
        <x:f>IF(D494="","",D494+273.15)</x:f>
      </x:c>
      <x:c r="F494" s="44" t="str">
        <x:f>IF(OR(C494="",D494="",C493=""),"",(C494-C493)/60)</x:f>
      </x:c>
      <x:c r="G494" s="44" t="str">
        <x:f>IF(D494="","",EXP(-Configuracion!$B$4/Configuracion!$B$5*(1/AVERAGE(E493:E494)-1/(Configuracion!$B$3+273.15))))</x:f>
      </x:c>
      <x:c r="H494" s="44" t="str">
        <x:f>IF(D494="","",F494*G494)</x:f>
      </x:c>
      <x:c r="I494" s="44" t="str">
        <x:f>IF(D494="","",I493+H494)</x:f>
      </x:c>
      <x:c r="J494" s="46" t="str">
        <x:f>IF(D494="","",MIN(1,I494/Configuracion!$B$11))</x:f>
      </x:c>
      <x:c r="K494" s="48" t="str">
        <x:f>IF(D494="","",MAX(0,(Configuracion!$B$11-I494)/G494))</x:f>
      </x:c>
      <x:c r="L494" s="73" t="str">
        <x:f>IF(D494="","",C494+K494*60)</x:f>
      </x:c>
      <x:c r="M494" t="str">
        <x:f>IF(D494="","",IF(J494&gt;=Configuracion!$B$13,"DESLIZAR",IF(J494&gt;=Configuracion!$B$12,"PREPARARSE","NO DESLIZAR")))</x:f>
      </x:c>
      <x:c r="N494" s="41" t="str">
        <x:f>IF(D494="","",D494-$D$8)</x:f>
      </x:c>
      <x:c r="O494" s="46" t="str">
        <x:f>IF(D494="","",MAX(0,MIN(1,N494/Configuracion!$B$10)))</x:f>
      </x:c>
    </x:row>
    <x:row r="495">
      <x:c r="A495" s="34"/>
      <x:c r="B495" s="36"/>
      <x:c r="C495" s="72"/>
      <x:c r="D495" s="71"/>
      <x:c r="E495" s="41" t="str">
        <x:f>IF(D495="","",D495+273.15)</x:f>
      </x:c>
      <x:c r="F495" s="44" t="str">
        <x:f>IF(OR(C495="",D495="",C494=""),"",(C495-C494)/60)</x:f>
      </x:c>
      <x:c r="G495" s="44" t="str">
        <x:f>IF(D495="","",EXP(-Configuracion!$B$4/Configuracion!$B$5*(1/AVERAGE(E494:E495)-1/(Configuracion!$B$3+273.15))))</x:f>
      </x:c>
      <x:c r="H495" s="44" t="str">
        <x:f>IF(D495="","",F495*G495)</x:f>
      </x:c>
      <x:c r="I495" s="44" t="str">
        <x:f>IF(D495="","",I494+H495)</x:f>
      </x:c>
      <x:c r="J495" s="46" t="str">
        <x:f>IF(D495="","",MIN(1,I495/Configuracion!$B$11))</x:f>
      </x:c>
      <x:c r="K495" s="48" t="str">
        <x:f>IF(D495="","",MAX(0,(Configuracion!$B$11-I495)/G495))</x:f>
      </x:c>
      <x:c r="L495" s="73" t="str">
        <x:f>IF(D495="","",C495+K495*60)</x:f>
      </x:c>
      <x:c r="M495" t="str">
        <x:f>IF(D495="","",IF(J495&gt;=Configuracion!$B$13,"DESLIZAR",IF(J495&gt;=Configuracion!$B$12,"PREPARARSE","NO DESLIZAR")))</x:f>
      </x:c>
      <x:c r="N495" s="41" t="str">
        <x:f>IF(D495="","",D495-$D$8)</x:f>
      </x:c>
      <x:c r="O495" s="46" t="str">
        <x:f>IF(D495="","",MAX(0,MIN(1,N495/Configuracion!$B$10)))</x:f>
      </x:c>
    </x:row>
    <x:row r="496">
      <x:c r="A496" s="34"/>
      <x:c r="B496" s="36"/>
      <x:c r="C496" s="72"/>
      <x:c r="D496" s="71"/>
      <x:c r="E496" s="41" t="str">
        <x:f>IF(D496="","",D496+273.15)</x:f>
      </x:c>
      <x:c r="F496" s="44" t="str">
        <x:f>IF(OR(C496="",D496="",C495=""),"",(C496-C495)/60)</x:f>
      </x:c>
      <x:c r="G496" s="44" t="str">
        <x:f>IF(D496="","",EXP(-Configuracion!$B$4/Configuracion!$B$5*(1/AVERAGE(E495:E496)-1/(Configuracion!$B$3+273.15))))</x:f>
      </x:c>
      <x:c r="H496" s="44" t="str">
        <x:f>IF(D496="","",F496*G496)</x:f>
      </x:c>
      <x:c r="I496" s="44" t="str">
        <x:f>IF(D496="","",I495+H496)</x:f>
      </x:c>
      <x:c r="J496" s="46" t="str">
        <x:f>IF(D496="","",MIN(1,I496/Configuracion!$B$11))</x:f>
      </x:c>
      <x:c r="K496" s="48" t="str">
        <x:f>IF(D496="","",MAX(0,(Configuracion!$B$11-I496)/G496))</x:f>
      </x:c>
      <x:c r="L496" s="73" t="str">
        <x:f>IF(D496="","",C496+K496*60)</x:f>
      </x:c>
      <x:c r="M496" t="str">
        <x:f>IF(D496="","",IF(J496&gt;=Configuracion!$B$13,"DESLIZAR",IF(J496&gt;=Configuracion!$B$12,"PREPARARSE","NO DESLIZAR")))</x:f>
      </x:c>
      <x:c r="N496" s="41" t="str">
        <x:f>IF(D496="","",D496-$D$8)</x:f>
      </x:c>
      <x:c r="O496" s="46" t="str">
        <x:f>IF(D496="","",MAX(0,MIN(1,N496/Configuracion!$B$10)))</x:f>
      </x:c>
    </x:row>
    <x:row r="497">
      <x:c r="A497" s="34"/>
      <x:c r="B497" s="36"/>
      <x:c r="C497" s="72"/>
      <x:c r="D497" s="71"/>
      <x:c r="E497" s="41" t="str">
        <x:f>IF(D497="","",D497+273.15)</x:f>
      </x:c>
      <x:c r="F497" s="44" t="str">
        <x:f>IF(OR(C497="",D497="",C496=""),"",(C497-C496)/60)</x:f>
      </x:c>
      <x:c r="G497" s="44" t="str">
        <x:f>IF(D497="","",EXP(-Configuracion!$B$4/Configuracion!$B$5*(1/AVERAGE(E496:E497)-1/(Configuracion!$B$3+273.15))))</x:f>
      </x:c>
      <x:c r="H497" s="44" t="str">
        <x:f>IF(D497="","",F497*G497)</x:f>
      </x:c>
      <x:c r="I497" s="44" t="str">
        <x:f>IF(D497="","",I496+H497)</x:f>
      </x:c>
      <x:c r="J497" s="46" t="str">
        <x:f>IF(D497="","",MIN(1,I497/Configuracion!$B$11))</x:f>
      </x:c>
      <x:c r="K497" s="48" t="str">
        <x:f>IF(D497="","",MAX(0,(Configuracion!$B$11-I497)/G497))</x:f>
      </x:c>
      <x:c r="L497" s="73" t="str">
        <x:f>IF(D497="","",C497+K497*60)</x:f>
      </x:c>
      <x:c r="M497" t="str">
        <x:f>IF(D497="","",IF(J497&gt;=Configuracion!$B$13,"DESLIZAR",IF(J497&gt;=Configuracion!$B$12,"PREPARARSE","NO DESLIZAR")))</x:f>
      </x:c>
      <x:c r="N497" s="41" t="str">
        <x:f>IF(D497="","",D497-$D$8)</x:f>
      </x:c>
      <x:c r="O497" s="46" t="str">
        <x:f>IF(D497="","",MAX(0,MIN(1,N497/Configuracion!$B$10)))</x:f>
      </x:c>
    </x:row>
    <x:row r="498">
      <x:c r="A498" s="34"/>
      <x:c r="B498" s="36"/>
      <x:c r="C498" s="72"/>
      <x:c r="D498" s="71"/>
      <x:c r="E498" s="41" t="str">
        <x:f>IF(D498="","",D498+273.15)</x:f>
      </x:c>
      <x:c r="F498" s="44" t="str">
        <x:f>IF(OR(C498="",D498="",C497=""),"",(C498-C497)/60)</x:f>
      </x:c>
      <x:c r="G498" s="44" t="str">
        <x:f>IF(D498="","",EXP(-Configuracion!$B$4/Configuracion!$B$5*(1/AVERAGE(E497:E498)-1/(Configuracion!$B$3+273.15))))</x:f>
      </x:c>
      <x:c r="H498" s="44" t="str">
        <x:f>IF(D498="","",F498*G498)</x:f>
      </x:c>
      <x:c r="I498" s="44" t="str">
        <x:f>IF(D498="","",I497+H498)</x:f>
      </x:c>
      <x:c r="J498" s="46" t="str">
        <x:f>IF(D498="","",MIN(1,I498/Configuracion!$B$11))</x:f>
      </x:c>
      <x:c r="K498" s="48" t="str">
        <x:f>IF(D498="","",MAX(0,(Configuracion!$B$11-I498)/G498))</x:f>
      </x:c>
      <x:c r="L498" s="73" t="str">
        <x:f>IF(D498="","",C498+K498*60)</x:f>
      </x:c>
      <x:c r="M498" t="str">
        <x:f>IF(D498="","",IF(J498&gt;=Configuracion!$B$13,"DESLIZAR",IF(J498&gt;=Configuracion!$B$12,"PREPARARSE","NO DESLIZAR")))</x:f>
      </x:c>
      <x:c r="N498" s="41" t="str">
        <x:f>IF(D498="","",D498-$D$8)</x:f>
      </x:c>
      <x:c r="O498" s="46" t="str">
        <x:f>IF(D498="","",MAX(0,MIN(1,N498/Configuracion!$B$10)))</x:f>
      </x:c>
    </x:row>
    <x:row r="499">
      <x:c r="A499" s="34"/>
      <x:c r="B499" s="36"/>
      <x:c r="C499" s="72"/>
      <x:c r="D499" s="71"/>
      <x:c r="E499" s="41" t="str">
        <x:f>IF(D499="","",D499+273.15)</x:f>
      </x:c>
      <x:c r="F499" s="44" t="str">
        <x:f>IF(OR(C499="",D499="",C498=""),"",(C499-C498)/60)</x:f>
      </x:c>
      <x:c r="G499" s="44" t="str">
        <x:f>IF(D499="","",EXP(-Configuracion!$B$4/Configuracion!$B$5*(1/AVERAGE(E498:E499)-1/(Configuracion!$B$3+273.15))))</x:f>
      </x:c>
      <x:c r="H499" s="44" t="str">
        <x:f>IF(D499="","",F499*G499)</x:f>
      </x:c>
      <x:c r="I499" s="44" t="str">
        <x:f>IF(D499="","",I498+H499)</x:f>
      </x:c>
      <x:c r="J499" s="46" t="str">
        <x:f>IF(D499="","",MIN(1,I499/Configuracion!$B$11))</x:f>
      </x:c>
      <x:c r="K499" s="48" t="str">
        <x:f>IF(D499="","",MAX(0,(Configuracion!$B$11-I499)/G499))</x:f>
      </x:c>
      <x:c r="L499" s="73" t="str">
        <x:f>IF(D499="","",C499+K499*60)</x:f>
      </x:c>
      <x:c r="M499" t="str">
        <x:f>IF(D499="","",IF(J499&gt;=Configuracion!$B$13,"DESLIZAR",IF(J499&gt;=Configuracion!$B$12,"PREPARARSE","NO DESLIZAR")))</x:f>
      </x:c>
      <x:c r="N499" s="41" t="str">
        <x:f>IF(D499="","",D499-$D$8)</x:f>
      </x:c>
      <x:c r="O499" s="46" t="str">
        <x:f>IF(D499="","",MAX(0,MIN(1,N499/Configuracion!$B$10)))</x:f>
      </x:c>
    </x:row>
    <x:row r="500">
      <x:c r="A500" s="34"/>
      <x:c r="B500" s="36"/>
      <x:c r="C500" s="72"/>
      <x:c r="D500" s="71"/>
      <x:c r="E500" s="41" t="str">
        <x:f>IF(D500="","",D500+273.15)</x:f>
      </x:c>
      <x:c r="F500" s="44" t="str">
        <x:f>IF(OR(C500="",D500="",C499=""),"",(C500-C499)/60)</x:f>
      </x:c>
      <x:c r="G500" s="44" t="str">
        <x:f>IF(D500="","",EXP(-Configuracion!$B$4/Configuracion!$B$5*(1/AVERAGE(E499:E500)-1/(Configuracion!$B$3+273.15))))</x:f>
      </x:c>
      <x:c r="H500" s="44" t="str">
        <x:f>IF(D500="","",F500*G500)</x:f>
      </x:c>
      <x:c r="I500" s="44" t="str">
        <x:f>IF(D500="","",I499+H500)</x:f>
      </x:c>
      <x:c r="J500" s="46" t="str">
        <x:f>IF(D500="","",MIN(1,I500/Configuracion!$B$11))</x:f>
      </x:c>
      <x:c r="K500" s="48" t="str">
        <x:f>IF(D500="","",MAX(0,(Configuracion!$B$11-I500)/G500))</x:f>
      </x:c>
      <x:c r="L500" s="73" t="str">
        <x:f>IF(D500="","",C500+K500*60)</x:f>
      </x:c>
      <x:c r="M500" t="str">
        <x:f>IF(D500="","",IF(J500&gt;=Configuracion!$B$13,"DESLIZAR",IF(J500&gt;=Configuracion!$B$12,"PREPARARSE","NO DESLIZAR")))</x:f>
      </x:c>
      <x:c r="N500" s="41" t="str">
        <x:f>IF(D500="","",D500-$D$8)</x:f>
      </x:c>
      <x:c r="O500" s="46" t="str">
        <x:f>IF(D500="","",MAX(0,MIN(1,N500/Configuracion!$B$10)))</x:f>
      </x:c>
    </x:row>
    <x:row r="501">
      <x:c r="A501" s="34"/>
      <x:c r="B501" s="36"/>
      <x:c r="C501" s="72"/>
      <x:c r="D501" s="71"/>
      <x:c r="E501" s="41" t="str">
        <x:f>IF(D501="","",D501+273.15)</x:f>
      </x:c>
      <x:c r="F501" s="44" t="str">
        <x:f>IF(OR(C501="",D501="",C500=""),"",(C501-C500)/60)</x:f>
      </x:c>
      <x:c r="G501" s="44" t="str">
        <x:f>IF(D501="","",EXP(-Configuracion!$B$4/Configuracion!$B$5*(1/AVERAGE(E500:E501)-1/(Configuracion!$B$3+273.15))))</x:f>
      </x:c>
      <x:c r="H501" s="44" t="str">
        <x:f>IF(D501="","",F501*G501)</x:f>
      </x:c>
      <x:c r="I501" s="44" t="str">
        <x:f>IF(D501="","",I500+H501)</x:f>
      </x:c>
      <x:c r="J501" s="46" t="str">
        <x:f>IF(D501="","",MIN(1,I501/Configuracion!$B$11))</x:f>
      </x:c>
      <x:c r="K501" s="48" t="str">
        <x:f>IF(D501="","",MAX(0,(Configuracion!$B$11-I501)/G501))</x:f>
      </x:c>
      <x:c r="L501" s="73" t="str">
        <x:f>IF(D501="","",C501+K501*60)</x:f>
      </x:c>
      <x:c r="M501" t="str">
        <x:f>IF(D501="","",IF(J501&gt;=Configuracion!$B$13,"DESLIZAR",IF(J501&gt;=Configuracion!$B$12,"PREPARARSE","NO DESLIZAR")))</x:f>
      </x:c>
      <x:c r="N501" s="41" t="str">
        <x:f>IF(D501="","",D501-$D$8)</x:f>
      </x:c>
      <x:c r="O501" s="46" t="str">
        <x:f>IF(D501="","",MAX(0,MIN(1,N501/Configuracion!$B$10)))</x:f>
      </x:c>
    </x:row>
    <x:row r="502">
      <x:c r="A502" s="34"/>
      <x:c r="B502" s="36"/>
      <x:c r="C502" s="72"/>
      <x:c r="D502" s="71"/>
      <x:c r="E502" s="41" t="str">
        <x:f>IF(D502="","",D502+273.15)</x:f>
      </x:c>
      <x:c r="F502" s="44" t="str">
        <x:f>IF(OR(C502="",D502="",C501=""),"",(C502-C501)/60)</x:f>
      </x:c>
      <x:c r="G502" s="44" t="str">
        <x:f>IF(D502="","",EXP(-Configuracion!$B$4/Configuracion!$B$5*(1/AVERAGE(E501:E502)-1/(Configuracion!$B$3+273.15))))</x:f>
      </x:c>
      <x:c r="H502" s="44" t="str">
        <x:f>IF(D502="","",F502*G502)</x:f>
      </x:c>
      <x:c r="I502" s="44" t="str">
        <x:f>IF(D502="","",I501+H502)</x:f>
      </x:c>
      <x:c r="J502" s="46" t="str">
        <x:f>IF(D502="","",MIN(1,I502/Configuracion!$B$11))</x:f>
      </x:c>
      <x:c r="K502" s="48" t="str">
        <x:f>IF(D502="","",MAX(0,(Configuracion!$B$11-I502)/G502))</x:f>
      </x:c>
      <x:c r="L502" s="73" t="str">
        <x:f>IF(D502="","",C502+K502*60)</x:f>
      </x:c>
      <x:c r="M502" t="str">
        <x:f>IF(D502="","",IF(J502&gt;=Configuracion!$B$13,"DESLIZAR",IF(J502&gt;=Configuracion!$B$12,"PREPARARSE","NO DESLIZAR")))</x:f>
      </x:c>
      <x:c r="N502" s="41" t="str">
        <x:f>IF(D502="","",D502-$D$8)</x:f>
      </x:c>
      <x:c r="O502" s="46" t="str">
        <x:f>IF(D502="","",MAX(0,MIN(1,N502/Configuracion!$B$10)))</x:f>
      </x:c>
    </x:row>
    <x:row r="503">
      <x:c r="A503" s="34"/>
      <x:c r="B503" s="36"/>
      <x:c r="C503" s="72"/>
      <x:c r="D503" s="71"/>
      <x:c r="E503" s="41" t="str">
        <x:f>IF(D503="","",D503+273.15)</x:f>
      </x:c>
      <x:c r="F503" s="44" t="str">
        <x:f>IF(OR(C503="",D503="",C502=""),"",(C503-C502)/60)</x:f>
      </x:c>
      <x:c r="G503" s="44" t="str">
        <x:f>IF(D503="","",EXP(-Configuracion!$B$4/Configuracion!$B$5*(1/AVERAGE(E502:E503)-1/(Configuracion!$B$3+273.15))))</x:f>
      </x:c>
      <x:c r="H503" s="44" t="str">
        <x:f>IF(D503="","",F503*G503)</x:f>
      </x:c>
      <x:c r="I503" s="44" t="str">
        <x:f>IF(D503="","",I502+H503)</x:f>
      </x:c>
      <x:c r="J503" s="46" t="str">
        <x:f>IF(D503="","",MIN(1,I503/Configuracion!$B$11))</x:f>
      </x:c>
      <x:c r="K503" s="48" t="str">
        <x:f>IF(D503="","",MAX(0,(Configuracion!$B$11-I503)/G503))</x:f>
      </x:c>
      <x:c r="L503" s="73" t="str">
        <x:f>IF(D503="","",C503+K503*60)</x:f>
      </x:c>
      <x:c r="M503" t="str">
        <x:f>IF(D503="","",IF(J503&gt;=Configuracion!$B$13,"DESLIZAR",IF(J503&gt;=Configuracion!$B$12,"PREPARARSE","NO DESLIZAR")))</x:f>
      </x:c>
      <x:c r="N503" s="41" t="str">
        <x:f>IF(D503="","",D503-$D$8)</x:f>
      </x:c>
      <x:c r="O503" s="46" t="str">
        <x:f>IF(D503="","",MAX(0,MIN(1,N503/Configuracion!$B$10)))</x:f>
      </x:c>
    </x:row>
    <x:row r="504">
      <x:c r="A504" s="34"/>
      <x:c r="B504" s="36"/>
      <x:c r="C504" s="72"/>
      <x:c r="D504" s="71"/>
      <x:c r="E504" s="41" t="str">
        <x:f>IF(D504="","",D504+273.15)</x:f>
      </x:c>
      <x:c r="F504" s="44" t="str">
        <x:f>IF(OR(C504="",D504="",C503=""),"",(C504-C503)/60)</x:f>
      </x:c>
      <x:c r="G504" s="44" t="str">
        <x:f>IF(D504="","",EXP(-Configuracion!$B$4/Configuracion!$B$5*(1/AVERAGE(E503:E504)-1/(Configuracion!$B$3+273.15))))</x:f>
      </x:c>
      <x:c r="H504" s="44" t="str">
        <x:f>IF(D504="","",F504*G504)</x:f>
      </x:c>
      <x:c r="I504" s="44" t="str">
        <x:f>IF(D504="","",I503+H504)</x:f>
      </x:c>
      <x:c r="J504" s="46" t="str">
        <x:f>IF(D504="","",MIN(1,I504/Configuracion!$B$11))</x:f>
      </x:c>
      <x:c r="K504" s="48" t="str">
        <x:f>IF(D504="","",MAX(0,(Configuracion!$B$11-I504)/G504))</x:f>
      </x:c>
      <x:c r="L504" s="73" t="str">
        <x:f>IF(D504="","",C504+K504*60)</x:f>
      </x:c>
      <x:c r="M504" t="str">
        <x:f>IF(D504="","",IF(J504&gt;=Configuracion!$B$13,"DESLIZAR",IF(J504&gt;=Configuracion!$B$12,"PREPARARSE","NO DESLIZAR")))</x:f>
      </x:c>
      <x:c r="N504" s="41" t="str">
        <x:f>IF(D504="","",D504-$D$8)</x:f>
      </x:c>
      <x:c r="O504" s="46" t="str">
        <x:f>IF(D504="","",MAX(0,MIN(1,N504/Configuracion!$B$10)))</x:f>
      </x:c>
    </x:row>
    <x:row r="505">
      <x:c r="A505" s="34"/>
      <x:c r="B505" s="36"/>
      <x:c r="C505" s="72"/>
      <x:c r="D505" s="71"/>
      <x:c r="E505" s="41" t="str">
        <x:f>IF(D505="","",D505+273.15)</x:f>
      </x:c>
      <x:c r="F505" s="44" t="str">
        <x:f>IF(OR(C505="",D505="",C504=""),"",(C505-C504)/60)</x:f>
      </x:c>
      <x:c r="G505" s="44" t="str">
        <x:f>IF(D505="","",EXP(-Configuracion!$B$4/Configuracion!$B$5*(1/AVERAGE(E504:E505)-1/(Configuracion!$B$3+273.15))))</x:f>
      </x:c>
      <x:c r="H505" s="44" t="str">
        <x:f>IF(D505="","",F505*G505)</x:f>
      </x:c>
      <x:c r="I505" s="44" t="str">
        <x:f>IF(D505="","",I504+H505)</x:f>
      </x:c>
      <x:c r="J505" s="46" t="str">
        <x:f>IF(D505="","",MIN(1,I505/Configuracion!$B$11))</x:f>
      </x:c>
      <x:c r="K505" s="48" t="str">
        <x:f>IF(D505="","",MAX(0,(Configuracion!$B$11-I505)/G505))</x:f>
      </x:c>
      <x:c r="L505" s="73" t="str">
        <x:f>IF(D505="","",C505+K505*60)</x:f>
      </x:c>
      <x:c r="M505" t="str">
        <x:f>IF(D505="","",IF(J505&gt;=Configuracion!$B$13,"DESLIZAR",IF(J505&gt;=Configuracion!$B$12,"PREPARARSE","NO DESLIZAR")))</x:f>
      </x:c>
      <x:c r="N505" s="41" t="str">
        <x:f>IF(D505="","",D505-$D$8)</x:f>
      </x:c>
      <x:c r="O505" s="46" t="str">
        <x:f>IF(D505="","",MAX(0,MIN(1,N505/Configuracion!$B$10)))</x:f>
      </x:c>
    </x:row>
    <x:row r="506">
      <x:c r="A506" s="34"/>
      <x:c r="B506" s="36"/>
      <x:c r="C506" s="72"/>
      <x:c r="D506" s="71"/>
      <x:c r="E506" s="41" t="str">
        <x:f>IF(D506="","",D506+273.15)</x:f>
      </x:c>
      <x:c r="F506" s="44" t="str">
        <x:f>IF(OR(C506="",D506="",C505=""),"",(C506-C505)/60)</x:f>
      </x:c>
      <x:c r="G506" s="44" t="str">
        <x:f>IF(D506="","",EXP(-Configuracion!$B$4/Configuracion!$B$5*(1/AVERAGE(E505:E506)-1/(Configuracion!$B$3+273.15))))</x:f>
      </x:c>
      <x:c r="H506" s="44" t="str">
        <x:f>IF(D506="","",F506*G506)</x:f>
      </x:c>
      <x:c r="I506" s="44" t="str">
        <x:f>IF(D506="","",I505+H506)</x:f>
      </x:c>
      <x:c r="J506" s="46" t="str">
        <x:f>IF(D506="","",MIN(1,I506/Configuracion!$B$11))</x:f>
      </x:c>
      <x:c r="K506" s="48" t="str">
        <x:f>IF(D506="","",MAX(0,(Configuracion!$B$11-I506)/G506))</x:f>
      </x:c>
      <x:c r="L506" s="73" t="str">
        <x:f>IF(D506="","",C506+K506*60)</x:f>
      </x:c>
      <x:c r="M506" t="str">
        <x:f>IF(D506="","",IF(J506&gt;=Configuracion!$B$13,"DESLIZAR",IF(J506&gt;=Configuracion!$B$12,"PREPARARSE","NO DESLIZAR")))</x:f>
      </x:c>
      <x:c r="N506" s="41" t="str">
        <x:f>IF(D506="","",D506-$D$8)</x:f>
      </x:c>
      <x:c r="O506" s="46" t="str">
        <x:f>IF(D506="","",MAX(0,MIN(1,N506/Configuracion!$B$10)))</x:f>
      </x:c>
    </x:row>
    <x:row r="507">
      <x:c r="A507" s="34"/>
      <x:c r="B507" s="36"/>
      <x:c r="C507" s="72"/>
      <x:c r="D507" s="71"/>
      <x:c r="E507" s="41" t="str">
        <x:f>IF(D507="","",D507+273.15)</x:f>
      </x:c>
      <x:c r="F507" s="44" t="str">
        <x:f>IF(OR(C507="",D507="",C506=""),"",(C507-C506)/60)</x:f>
      </x:c>
      <x:c r="G507" s="44" t="str">
        <x:f>IF(D507="","",EXP(-Configuracion!$B$4/Configuracion!$B$5*(1/AVERAGE(E506:E507)-1/(Configuracion!$B$3+273.15))))</x:f>
      </x:c>
      <x:c r="H507" s="44" t="str">
        <x:f>IF(D507="","",F507*G507)</x:f>
      </x:c>
      <x:c r="I507" s="44" t="str">
        <x:f>IF(D507="","",I506+H507)</x:f>
      </x:c>
      <x:c r="J507" s="46" t="str">
        <x:f>IF(D507="","",MIN(1,I507/Configuracion!$B$11))</x:f>
      </x:c>
      <x:c r="K507" s="48" t="str">
        <x:f>IF(D507="","",MAX(0,(Configuracion!$B$11-I507)/G507))</x:f>
      </x:c>
      <x:c r="L507" s="73" t="str">
        <x:f>IF(D507="","",C507+K507*60)</x:f>
      </x:c>
      <x:c r="M507" t="str">
        <x:f>IF(D507="","",IF(J507&gt;=Configuracion!$B$13,"DESLIZAR",IF(J507&gt;=Configuracion!$B$12,"PREPARARSE","NO DESLIZAR")))</x:f>
      </x:c>
      <x:c r="N507" s="41" t="str">
        <x:f>IF(D507="","",D507-$D$8)</x:f>
      </x:c>
      <x:c r="O507" s="46" t="str">
        <x:f>IF(D507="","",MAX(0,MIN(1,N507/Configuracion!$B$10)))</x:f>
      </x:c>
    </x:row>
    <x:row r="508">
      <x:c r="A508" s="34"/>
      <x:c r="B508" s="36"/>
      <x:c r="C508" s="72"/>
      <x:c r="D508" s="71"/>
      <x:c r="E508" s="41" t="str">
        <x:f>IF(D508="","",D508+273.15)</x:f>
      </x:c>
      <x:c r="F508" s="44" t="str">
        <x:f>IF(OR(C508="",D508="",C507=""),"",(C508-C507)/60)</x:f>
      </x:c>
      <x:c r="G508" s="44" t="str">
        <x:f>IF(D508="","",EXP(-Configuracion!$B$4/Configuracion!$B$5*(1/AVERAGE(E507:E508)-1/(Configuracion!$B$3+273.15))))</x:f>
      </x:c>
      <x:c r="H508" s="44" t="str">
        <x:f>IF(D508="","",F508*G508)</x:f>
      </x:c>
      <x:c r="I508" s="44" t="str">
        <x:f>IF(D508="","",I507+H508)</x:f>
      </x:c>
      <x:c r="J508" s="46" t="str">
        <x:f>IF(D508="","",MIN(1,I508/Configuracion!$B$11))</x:f>
      </x:c>
      <x:c r="K508" s="48" t="str">
        <x:f>IF(D508="","",MAX(0,(Configuracion!$B$11-I508)/G508))</x:f>
      </x:c>
      <x:c r="L508" s="73" t="str">
        <x:f>IF(D508="","",C508+K508*60)</x:f>
      </x:c>
      <x:c r="M508" t="str">
        <x:f>IF(D508="","",IF(J508&gt;=Configuracion!$B$13,"DESLIZAR",IF(J508&gt;=Configuracion!$B$12,"PREPARARSE","NO DESLIZAR")))</x:f>
      </x:c>
      <x:c r="N508" s="41" t="str">
        <x:f>IF(D508="","",D508-$D$8)</x:f>
      </x:c>
      <x:c r="O508" s="46" t="str">
        <x:f>IF(D508="","",MAX(0,MIN(1,N508/Configuracion!$B$10)))</x:f>
      </x:c>
    </x:row>
    <x:row r="509">
      <x:c r="A509" s="34"/>
      <x:c r="B509" s="36"/>
      <x:c r="C509" s="72"/>
      <x:c r="D509" s="71"/>
      <x:c r="E509" s="41" t="str">
        <x:f>IF(D509="","",D509+273.15)</x:f>
      </x:c>
      <x:c r="F509" s="44" t="str">
        <x:f>IF(OR(C509="",D509="",C508=""),"",(C509-C508)/60)</x:f>
      </x:c>
      <x:c r="G509" s="44" t="str">
        <x:f>IF(D509="","",EXP(-Configuracion!$B$4/Configuracion!$B$5*(1/AVERAGE(E508:E509)-1/(Configuracion!$B$3+273.15))))</x:f>
      </x:c>
      <x:c r="H509" s="44" t="str">
        <x:f>IF(D509="","",F509*G509)</x:f>
      </x:c>
      <x:c r="I509" s="44" t="str">
        <x:f>IF(D509="","",I508+H509)</x:f>
      </x:c>
      <x:c r="J509" s="46" t="str">
        <x:f>IF(D509="","",MIN(1,I509/Configuracion!$B$11))</x:f>
      </x:c>
      <x:c r="K509" s="48" t="str">
        <x:f>IF(D509="","",MAX(0,(Configuracion!$B$11-I509)/G509))</x:f>
      </x:c>
      <x:c r="L509" s="73" t="str">
        <x:f>IF(D509="","",C509+K509*60)</x:f>
      </x:c>
      <x:c r="M509" t="str">
        <x:f>IF(D509="","",IF(J509&gt;=Configuracion!$B$13,"DESLIZAR",IF(J509&gt;=Configuracion!$B$12,"PREPARARSE","NO DESLIZAR")))</x:f>
      </x:c>
      <x:c r="N509" s="41" t="str">
        <x:f>IF(D509="","",D509-$D$8)</x:f>
      </x:c>
      <x:c r="O509" s="46" t="str">
        <x:f>IF(D509="","",MAX(0,MIN(1,N509/Configuracion!$B$10)))</x:f>
      </x:c>
    </x:row>
    <x:row r="510">
      <x:c r="A510" s="34"/>
      <x:c r="B510" s="36"/>
      <x:c r="C510" s="72"/>
      <x:c r="D510" s="71"/>
      <x:c r="E510" s="41" t="str">
        <x:f>IF(D510="","",D510+273.15)</x:f>
      </x:c>
      <x:c r="F510" s="44" t="str">
        <x:f>IF(OR(C510="",D510="",C509=""),"",(C510-C509)/60)</x:f>
      </x:c>
      <x:c r="G510" s="44" t="str">
        <x:f>IF(D510="","",EXP(-Configuracion!$B$4/Configuracion!$B$5*(1/AVERAGE(E509:E510)-1/(Configuracion!$B$3+273.15))))</x:f>
      </x:c>
      <x:c r="H510" s="44" t="str">
        <x:f>IF(D510="","",F510*G510)</x:f>
      </x:c>
      <x:c r="I510" s="44" t="str">
        <x:f>IF(D510="","",I509+H510)</x:f>
      </x:c>
      <x:c r="J510" s="46" t="str">
        <x:f>IF(D510="","",MIN(1,I510/Configuracion!$B$11))</x:f>
      </x:c>
      <x:c r="K510" s="48" t="str">
        <x:f>IF(D510="","",MAX(0,(Configuracion!$B$11-I510)/G510))</x:f>
      </x:c>
      <x:c r="L510" s="73" t="str">
        <x:f>IF(D510="","",C510+K510*60)</x:f>
      </x:c>
      <x:c r="M510" t="str">
        <x:f>IF(D510="","",IF(J510&gt;=Configuracion!$B$13,"DESLIZAR",IF(J510&gt;=Configuracion!$B$12,"PREPARARSE","NO DESLIZAR")))</x:f>
      </x:c>
      <x:c r="N510" s="41" t="str">
        <x:f>IF(D510="","",D510-$D$8)</x:f>
      </x:c>
      <x:c r="O510" s="46" t="str">
        <x:f>IF(D510="","",MAX(0,MIN(1,N510/Configuracion!$B$10)))</x:f>
      </x:c>
    </x:row>
    <x:row r="511">
      <x:c r="A511" s="34"/>
      <x:c r="B511" s="36"/>
      <x:c r="C511" s="72"/>
      <x:c r="D511" s="71"/>
      <x:c r="E511" s="41" t="str">
        <x:f>IF(D511="","",D511+273.15)</x:f>
      </x:c>
      <x:c r="F511" s="44" t="str">
        <x:f>IF(OR(C511="",D511="",C510=""),"",(C511-C510)/60)</x:f>
      </x:c>
      <x:c r="G511" s="44" t="str">
        <x:f>IF(D511="","",EXP(-Configuracion!$B$4/Configuracion!$B$5*(1/AVERAGE(E510:E511)-1/(Configuracion!$B$3+273.15))))</x:f>
      </x:c>
      <x:c r="H511" s="44" t="str">
        <x:f>IF(D511="","",F511*G511)</x:f>
      </x:c>
      <x:c r="I511" s="44" t="str">
        <x:f>IF(D511="","",I510+H511)</x:f>
      </x:c>
      <x:c r="J511" s="46" t="str">
        <x:f>IF(D511="","",MIN(1,I511/Configuracion!$B$11))</x:f>
      </x:c>
      <x:c r="K511" s="48" t="str">
        <x:f>IF(D511="","",MAX(0,(Configuracion!$B$11-I511)/G511))</x:f>
      </x:c>
      <x:c r="L511" s="73" t="str">
        <x:f>IF(D511="","",C511+K511*60)</x:f>
      </x:c>
      <x:c r="M511" t="str">
        <x:f>IF(D511="","",IF(J511&gt;=Configuracion!$B$13,"DESLIZAR",IF(J511&gt;=Configuracion!$B$12,"PREPARARSE","NO DESLIZAR")))</x:f>
      </x:c>
      <x:c r="N511" s="41" t="str">
        <x:f>IF(D511="","",D511-$D$8)</x:f>
      </x:c>
      <x:c r="O511" s="46" t="str">
        <x:f>IF(D511="","",MAX(0,MIN(1,N511/Configuracion!$B$10)))</x:f>
      </x:c>
    </x:row>
    <x:row r="512">
      <x:c r="A512" s="34"/>
      <x:c r="B512" s="36"/>
      <x:c r="C512" s="72"/>
      <x:c r="D512" s="71"/>
      <x:c r="E512" s="41" t="str">
        <x:f>IF(D512="","",D512+273.15)</x:f>
      </x:c>
      <x:c r="F512" s="44" t="str">
        <x:f>IF(OR(C512="",D512="",C511=""),"",(C512-C511)/60)</x:f>
      </x:c>
      <x:c r="G512" s="44" t="str">
        <x:f>IF(D512="","",EXP(-Configuracion!$B$4/Configuracion!$B$5*(1/AVERAGE(E511:E512)-1/(Configuracion!$B$3+273.15))))</x:f>
      </x:c>
      <x:c r="H512" s="44" t="str">
        <x:f>IF(D512="","",F512*G512)</x:f>
      </x:c>
      <x:c r="I512" s="44" t="str">
        <x:f>IF(D512="","",I511+H512)</x:f>
      </x:c>
      <x:c r="J512" s="46" t="str">
        <x:f>IF(D512="","",MIN(1,I512/Configuracion!$B$11))</x:f>
      </x:c>
      <x:c r="K512" s="48" t="str">
        <x:f>IF(D512="","",MAX(0,(Configuracion!$B$11-I512)/G512))</x:f>
      </x:c>
      <x:c r="L512" s="73" t="str">
        <x:f>IF(D512="","",C512+K512*60)</x:f>
      </x:c>
      <x:c r="M512" t="str">
        <x:f>IF(D512="","",IF(J512&gt;=Configuracion!$B$13,"DESLIZAR",IF(J512&gt;=Configuracion!$B$12,"PREPARARSE","NO DESLIZAR")))</x:f>
      </x:c>
      <x:c r="N512" s="41" t="str">
        <x:f>IF(D512="","",D512-$D$8)</x:f>
      </x:c>
      <x:c r="O512" s="46" t="str">
        <x:f>IF(D512="","",MAX(0,MIN(1,N512/Configuracion!$B$10)))</x:f>
      </x:c>
    </x:row>
    <x:row r="513">
      <x:c r="A513" s="34"/>
      <x:c r="B513" s="36"/>
      <x:c r="C513" s="72"/>
      <x:c r="D513" s="71"/>
      <x:c r="E513" s="41" t="str">
        <x:f>IF(D513="","",D513+273.15)</x:f>
      </x:c>
      <x:c r="F513" s="44" t="str">
        <x:f>IF(OR(C513="",D513="",C512=""),"",(C513-C512)/60)</x:f>
      </x:c>
      <x:c r="G513" s="44" t="str">
        <x:f>IF(D513="","",EXP(-Configuracion!$B$4/Configuracion!$B$5*(1/AVERAGE(E512:E513)-1/(Configuracion!$B$3+273.15))))</x:f>
      </x:c>
      <x:c r="H513" s="44" t="str">
        <x:f>IF(D513="","",F513*G513)</x:f>
      </x:c>
      <x:c r="I513" s="44" t="str">
        <x:f>IF(D513="","",I512+H513)</x:f>
      </x:c>
      <x:c r="J513" s="46" t="str">
        <x:f>IF(D513="","",MIN(1,I513/Configuracion!$B$11))</x:f>
      </x:c>
      <x:c r="K513" s="48" t="str">
        <x:f>IF(D513="","",MAX(0,(Configuracion!$B$11-I513)/G513))</x:f>
      </x:c>
      <x:c r="L513" s="73" t="str">
        <x:f>IF(D513="","",C513+K513*60)</x:f>
      </x:c>
      <x:c r="M513" t="str">
        <x:f>IF(D513="","",IF(J513&gt;=Configuracion!$B$13,"DESLIZAR",IF(J513&gt;=Configuracion!$B$12,"PREPARARSE","NO DESLIZAR")))</x:f>
      </x:c>
      <x:c r="N513" s="41" t="str">
        <x:f>IF(D513="","",D513-$D$8)</x:f>
      </x:c>
      <x:c r="O513" s="46" t="str">
        <x:f>IF(D513="","",MAX(0,MIN(1,N513/Configuracion!$B$10)))</x:f>
      </x:c>
    </x:row>
    <x:row r="514">
      <x:c r="A514" s="34"/>
      <x:c r="B514" s="36"/>
      <x:c r="C514" s="72"/>
      <x:c r="D514" s="71"/>
      <x:c r="E514" s="41" t="str">
        <x:f>IF(D514="","",D514+273.15)</x:f>
      </x:c>
      <x:c r="F514" s="44" t="str">
        <x:f>IF(OR(C514="",D514="",C513=""),"",(C514-C513)/60)</x:f>
      </x:c>
      <x:c r="G514" s="44" t="str">
        <x:f>IF(D514="","",EXP(-Configuracion!$B$4/Configuracion!$B$5*(1/AVERAGE(E513:E514)-1/(Configuracion!$B$3+273.15))))</x:f>
      </x:c>
      <x:c r="H514" s="44" t="str">
        <x:f>IF(D514="","",F514*G514)</x:f>
      </x:c>
      <x:c r="I514" s="44" t="str">
        <x:f>IF(D514="","",I513+H514)</x:f>
      </x:c>
      <x:c r="J514" s="46" t="str">
        <x:f>IF(D514="","",MIN(1,I514/Configuracion!$B$11))</x:f>
      </x:c>
      <x:c r="K514" s="48" t="str">
        <x:f>IF(D514="","",MAX(0,(Configuracion!$B$11-I514)/G514))</x:f>
      </x:c>
      <x:c r="L514" s="73" t="str">
        <x:f>IF(D514="","",C514+K514*60)</x:f>
      </x:c>
      <x:c r="M514" t="str">
        <x:f>IF(D514="","",IF(J514&gt;=Configuracion!$B$13,"DESLIZAR",IF(J514&gt;=Configuracion!$B$12,"PREPARARSE","NO DESLIZAR")))</x:f>
      </x:c>
      <x:c r="N514" s="41" t="str">
        <x:f>IF(D514="","",D514-$D$8)</x:f>
      </x:c>
      <x:c r="O514" s="46" t="str">
        <x:f>IF(D514="","",MAX(0,MIN(1,N514/Configuracion!$B$10)))</x:f>
      </x:c>
    </x:row>
    <x:row r="515">
      <x:c r="A515" s="34"/>
      <x:c r="B515" s="36"/>
      <x:c r="C515" s="72"/>
      <x:c r="D515" s="71"/>
      <x:c r="E515" s="41" t="str">
        <x:f>IF(D515="","",D515+273.15)</x:f>
      </x:c>
      <x:c r="F515" s="44" t="str">
        <x:f>IF(OR(C515="",D515="",C514=""),"",(C515-C514)/60)</x:f>
      </x:c>
      <x:c r="G515" s="44" t="str">
        <x:f>IF(D515="","",EXP(-Configuracion!$B$4/Configuracion!$B$5*(1/AVERAGE(E514:E515)-1/(Configuracion!$B$3+273.15))))</x:f>
      </x:c>
      <x:c r="H515" s="44" t="str">
        <x:f>IF(D515="","",F515*G515)</x:f>
      </x:c>
      <x:c r="I515" s="44" t="str">
        <x:f>IF(D515="","",I514+H515)</x:f>
      </x:c>
      <x:c r="J515" s="46" t="str">
        <x:f>IF(D515="","",MIN(1,I515/Configuracion!$B$11))</x:f>
      </x:c>
      <x:c r="K515" s="48" t="str">
        <x:f>IF(D515="","",MAX(0,(Configuracion!$B$11-I515)/G515))</x:f>
      </x:c>
      <x:c r="L515" s="73" t="str">
        <x:f>IF(D515="","",C515+K515*60)</x:f>
      </x:c>
      <x:c r="M515" t="str">
        <x:f>IF(D515="","",IF(J515&gt;=Configuracion!$B$13,"DESLIZAR",IF(J515&gt;=Configuracion!$B$12,"PREPARARSE","NO DESLIZAR")))</x:f>
      </x:c>
      <x:c r="N515" s="41" t="str">
        <x:f>IF(D515="","",D515-$D$8)</x:f>
      </x:c>
      <x:c r="O515" s="46" t="str">
        <x:f>IF(D515="","",MAX(0,MIN(1,N515/Configuracion!$B$10)))</x:f>
      </x:c>
    </x:row>
    <x:row r="516">
      <x:c r="A516" s="34"/>
      <x:c r="B516" s="36"/>
      <x:c r="C516" s="72"/>
      <x:c r="D516" s="71"/>
      <x:c r="E516" s="41" t="str">
        <x:f>IF(D516="","",D516+273.15)</x:f>
      </x:c>
      <x:c r="F516" s="44" t="str">
        <x:f>IF(OR(C516="",D516="",C515=""),"",(C516-C515)/60)</x:f>
      </x:c>
      <x:c r="G516" s="44" t="str">
        <x:f>IF(D516="","",EXP(-Configuracion!$B$4/Configuracion!$B$5*(1/AVERAGE(E515:E516)-1/(Configuracion!$B$3+273.15))))</x:f>
      </x:c>
      <x:c r="H516" s="44" t="str">
        <x:f>IF(D516="","",F516*G516)</x:f>
      </x:c>
      <x:c r="I516" s="44" t="str">
        <x:f>IF(D516="","",I515+H516)</x:f>
      </x:c>
      <x:c r="J516" s="46" t="str">
        <x:f>IF(D516="","",MIN(1,I516/Configuracion!$B$11))</x:f>
      </x:c>
      <x:c r="K516" s="48" t="str">
        <x:f>IF(D516="","",MAX(0,(Configuracion!$B$11-I516)/G516))</x:f>
      </x:c>
      <x:c r="L516" s="73" t="str">
        <x:f>IF(D516="","",C516+K516*60)</x:f>
      </x:c>
      <x:c r="M516" t="str">
        <x:f>IF(D516="","",IF(J516&gt;=Configuracion!$B$13,"DESLIZAR",IF(J516&gt;=Configuracion!$B$12,"PREPARARSE","NO DESLIZAR")))</x:f>
      </x:c>
      <x:c r="N516" s="41" t="str">
        <x:f>IF(D516="","",D516-$D$8)</x:f>
      </x:c>
      <x:c r="O516" s="46" t="str">
        <x:f>IF(D516="","",MAX(0,MIN(1,N516/Configuracion!$B$10)))</x:f>
      </x:c>
    </x:row>
    <x:row r="517">
      <x:c r="A517" s="34"/>
      <x:c r="B517" s="36"/>
      <x:c r="C517" s="72"/>
      <x:c r="D517" s="71"/>
      <x:c r="E517" s="41" t="str">
        <x:f>IF(D517="","",D517+273.15)</x:f>
      </x:c>
      <x:c r="F517" s="44" t="str">
        <x:f>IF(OR(C517="",D517="",C516=""),"",(C517-C516)/60)</x:f>
      </x:c>
      <x:c r="G517" s="44" t="str">
        <x:f>IF(D517="","",EXP(-Configuracion!$B$4/Configuracion!$B$5*(1/AVERAGE(E516:E517)-1/(Configuracion!$B$3+273.15))))</x:f>
      </x:c>
      <x:c r="H517" s="44" t="str">
        <x:f>IF(D517="","",F517*G517)</x:f>
      </x:c>
      <x:c r="I517" s="44" t="str">
        <x:f>IF(D517="","",I516+H517)</x:f>
      </x:c>
      <x:c r="J517" s="46" t="str">
        <x:f>IF(D517="","",MIN(1,I517/Configuracion!$B$11))</x:f>
      </x:c>
      <x:c r="K517" s="48" t="str">
        <x:f>IF(D517="","",MAX(0,(Configuracion!$B$11-I517)/G517))</x:f>
      </x:c>
      <x:c r="L517" s="73" t="str">
        <x:f>IF(D517="","",C517+K517*60)</x:f>
      </x:c>
      <x:c r="M517" t="str">
        <x:f>IF(D517="","",IF(J517&gt;=Configuracion!$B$13,"DESLIZAR",IF(J517&gt;=Configuracion!$B$12,"PREPARARSE","NO DESLIZAR")))</x:f>
      </x:c>
      <x:c r="N517" s="41" t="str">
        <x:f>IF(D517="","",D517-$D$8)</x:f>
      </x:c>
      <x:c r="O517" s="46" t="str">
        <x:f>IF(D517="","",MAX(0,MIN(1,N517/Configuracion!$B$10)))</x:f>
      </x:c>
    </x:row>
    <x:row r="518">
      <x:c r="A518" s="34"/>
      <x:c r="B518" s="36"/>
      <x:c r="C518" s="72"/>
      <x:c r="D518" s="71"/>
      <x:c r="E518" s="41" t="str">
        <x:f>IF(D518="","",D518+273.15)</x:f>
      </x:c>
      <x:c r="F518" s="44" t="str">
        <x:f>IF(OR(C518="",D518="",C517=""),"",(C518-C517)/60)</x:f>
      </x:c>
      <x:c r="G518" s="44" t="str">
        <x:f>IF(D518="","",EXP(-Configuracion!$B$4/Configuracion!$B$5*(1/AVERAGE(E517:E518)-1/(Configuracion!$B$3+273.15))))</x:f>
      </x:c>
      <x:c r="H518" s="44" t="str">
        <x:f>IF(D518="","",F518*G518)</x:f>
      </x:c>
      <x:c r="I518" s="44" t="str">
        <x:f>IF(D518="","",I517+H518)</x:f>
      </x:c>
      <x:c r="J518" s="46" t="str">
        <x:f>IF(D518="","",MIN(1,I518/Configuracion!$B$11))</x:f>
      </x:c>
      <x:c r="K518" s="48" t="str">
        <x:f>IF(D518="","",MAX(0,(Configuracion!$B$11-I518)/G518))</x:f>
      </x:c>
      <x:c r="L518" s="73" t="str">
        <x:f>IF(D518="","",C518+K518*60)</x:f>
      </x:c>
      <x:c r="M518" t="str">
        <x:f>IF(D518="","",IF(J518&gt;=Configuracion!$B$13,"DESLIZAR",IF(J518&gt;=Configuracion!$B$12,"PREPARARSE","NO DESLIZAR")))</x:f>
      </x:c>
      <x:c r="N518" s="41" t="str">
        <x:f>IF(D518="","",D518-$D$8)</x:f>
      </x:c>
      <x:c r="O518" s="46" t="str">
        <x:f>IF(D518="","",MAX(0,MIN(1,N518/Configuracion!$B$10)))</x:f>
      </x:c>
    </x:row>
    <x:row r="519">
      <x:c r="A519" s="34"/>
      <x:c r="B519" s="36"/>
      <x:c r="C519" s="72"/>
      <x:c r="D519" s="71"/>
      <x:c r="E519" s="41" t="str">
        <x:f>IF(D519="","",D519+273.15)</x:f>
      </x:c>
      <x:c r="F519" s="44" t="str">
        <x:f>IF(OR(C519="",D519="",C518=""),"",(C519-C518)/60)</x:f>
      </x:c>
      <x:c r="G519" s="44" t="str">
        <x:f>IF(D519="","",EXP(-Configuracion!$B$4/Configuracion!$B$5*(1/AVERAGE(E518:E519)-1/(Configuracion!$B$3+273.15))))</x:f>
      </x:c>
      <x:c r="H519" s="44" t="str">
        <x:f>IF(D519="","",F519*G519)</x:f>
      </x:c>
      <x:c r="I519" s="44" t="str">
        <x:f>IF(D519="","",I518+H519)</x:f>
      </x:c>
      <x:c r="J519" s="46" t="str">
        <x:f>IF(D519="","",MIN(1,I519/Configuracion!$B$11))</x:f>
      </x:c>
      <x:c r="K519" s="48" t="str">
        <x:f>IF(D519="","",MAX(0,(Configuracion!$B$11-I519)/G519))</x:f>
      </x:c>
      <x:c r="L519" s="73" t="str">
        <x:f>IF(D519="","",C519+K519*60)</x:f>
      </x:c>
      <x:c r="M519" t="str">
        <x:f>IF(D519="","",IF(J519&gt;=Configuracion!$B$13,"DESLIZAR",IF(J519&gt;=Configuracion!$B$12,"PREPARARSE","NO DESLIZAR")))</x:f>
      </x:c>
      <x:c r="N519" s="41" t="str">
        <x:f>IF(D519="","",D519-$D$8)</x:f>
      </x:c>
      <x:c r="O519" s="46" t="str">
        <x:f>IF(D519="","",MAX(0,MIN(1,N519/Configuracion!$B$10)))</x:f>
      </x:c>
    </x:row>
    <x:row r="520">
      <x:c r="A520" s="34"/>
      <x:c r="B520" s="36"/>
      <x:c r="C520" s="72"/>
      <x:c r="D520" s="71"/>
      <x:c r="E520" s="41" t="str">
        <x:f>IF(D520="","",D520+273.15)</x:f>
      </x:c>
      <x:c r="F520" s="44" t="str">
        <x:f>IF(OR(C520="",D520="",C519=""),"",(C520-C519)/60)</x:f>
      </x:c>
      <x:c r="G520" s="44" t="str">
        <x:f>IF(D520="","",EXP(-Configuracion!$B$4/Configuracion!$B$5*(1/AVERAGE(E519:E520)-1/(Configuracion!$B$3+273.15))))</x:f>
      </x:c>
      <x:c r="H520" s="44" t="str">
        <x:f>IF(D520="","",F520*G520)</x:f>
      </x:c>
      <x:c r="I520" s="44" t="str">
        <x:f>IF(D520="","",I519+H520)</x:f>
      </x:c>
      <x:c r="J520" s="46" t="str">
        <x:f>IF(D520="","",MIN(1,I520/Configuracion!$B$11))</x:f>
      </x:c>
      <x:c r="K520" s="48" t="str">
        <x:f>IF(D520="","",MAX(0,(Configuracion!$B$11-I520)/G520))</x:f>
      </x:c>
      <x:c r="L520" s="73" t="str">
        <x:f>IF(D520="","",C520+K520*60)</x:f>
      </x:c>
      <x:c r="M520" t="str">
        <x:f>IF(D520="","",IF(J520&gt;=Configuracion!$B$13,"DESLIZAR",IF(J520&gt;=Configuracion!$B$12,"PREPARARSE","NO DESLIZAR")))</x:f>
      </x:c>
      <x:c r="N520" s="41" t="str">
        <x:f>IF(D520="","",D520-$D$8)</x:f>
      </x:c>
      <x:c r="O520" s="46" t="str">
        <x:f>IF(D520="","",MAX(0,MIN(1,N520/Configuracion!$B$10)))</x:f>
      </x:c>
    </x:row>
    <x:row r="521">
      <x:c r="A521" s="34"/>
      <x:c r="B521" s="36"/>
      <x:c r="C521" s="72"/>
      <x:c r="D521" s="71"/>
      <x:c r="E521" s="41" t="str">
        <x:f>IF(D521="","",D521+273.15)</x:f>
      </x:c>
      <x:c r="F521" s="44" t="str">
        <x:f>IF(OR(C521="",D521="",C520=""),"",(C521-C520)/60)</x:f>
      </x:c>
      <x:c r="G521" s="44" t="str">
        <x:f>IF(D521="","",EXP(-Configuracion!$B$4/Configuracion!$B$5*(1/AVERAGE(E520:E521)-1/(Configuracion!$B$3+273.15))))</x:f>
      </x:c>
      <x:c r="H521" s="44" t="str">
        <x:f>IF(D521="","",F521*G521)</x:f>
      </x:c>
      <x:c r="I521" s="44" t="str">
        <x:f>IF(D521="","",I520+H521)</x:f>
      </x:c>
      <x:c r="J521" s="46" t="str">
        <x:f>IF(D521="","",MIN(1,I521/Configuracion!$B$11))</x:f>
      </x:c>
      <x:c r="K521" s="48" t="str">
        <x:f>IF(D521="","",MAX(0,(Configuracion!$B$11-I521)/G521))</x:f>
      </x:c>
      <x:c r="L521" s="73" t="str">
        <x:f>IF(D521="","",C521+K521*60)</x:f>
      </x:c>
      <x:c r="M521" t="str">
        <x:f>IF(D521="","",IF(J521&gt;=Configuracion!$B$13,"DESLIZAR",IF(J521&gt;=Configuracion!$B$12,"PREPARARSE","NO DESLIZAR")))</x:f>
      </x:c>
      <x:c r="N521" s="41" t="str">
        <x:f>IF(D521="","",D521-$D$8)</x:f>
      </x:c>
      <x:c r="O521" s="46" t="str">
        <x:f>IF(D521="","",MAX(0,MIN(1,N521/Configuracion!$B$10)))</x:f>
      </x:c>
    </x:row>
    <x:row r="522">
      <x:c r="A522" s="34"/>
      <x:c r="B522" s="36"/>
      <x:c r="C522" s="72"/>
      <x:c r="D522" s="71"/>
      <x:c r="E522" s="41" t="str">
        <x:f>IF(D522="","",D522+273.15)</x:f>
      </x:c>
      <x:c r="F522" s="44" t="str">
        <x:f>IF(OR(C522="",D522="",C521=""),"",(C522-C521)/60)</x:f>
      </x:c>
      <x:c r="G522" s="44" t="str">
        <x:f>IF(D522="","",EXP(-Configuracion!$B$4/Configuracion!$B$5*(1/AVERAGE(E521:E522)-1/(Configuracion!$B$3+273.15))))</x:f>
      </x:c>
      <x:c r="H522" s="44" t="str">
        <x:f>IF(D522="","",F522*G522)</x:f>
      </x:c>
      <x:c r="I522" s="44" t="str">
        <x:f>IF(D522="","",I521+H522)</x:f>
      </x:c>
      <x:c r="J522" s="46" t="str">
        <x:f>IF(D522="","",MIN(1,I522/Configuracion!$B$11))</x:f>
      </x:c>
      <x:c r="K522" s="48" t="str">
        <x:f>IF(D522="","",MAX(0,(Configuracion!$B$11-I522)/G522))</x:f>
      </x:c>
      <x:c r="L522" s="73" t="str">
        <x:f>IF(D522="","",C522+K522*60)</x:f>
      </x:c>
      <x:c r="M522" t="str">
        <x:f>IF(D522="","",IF(J522&gt;=Configuracion!$B$13,"DESLIZAR",IF(J522&gt;=Configuracion!$B$12,"PREPARARSE","NO DESLIZAR")))</x:f>
      </x:c>
      <x:c r="N522" s="41" t="str">
        <x:f>IF(D522="","",D522-$D$8)</x:f>
      </x:c>
      <x:c r="O522" s="46" t="str">
        <x:f>IF(D522="","",MAX(0,MIN(1,N522/Configuracion!$B$10)))</x:f>
      </x:c>
    </x:row>
    <x:row r="523">
      <x:c r="A523" s="34"/>
      <x:c r="B523" s="36"/>
      <x:c r="C523" s="72"/>
      <x:c r="D523" s="71"/>
      <x:c r="E523" s="41" t="str">
        <x:f>IF(D523="","",D523+273.15)</x:f>
      </x:c>
      <x:c r="F523" s="44" t="str">
        <x:f>IF(OR(C523="",D523="",C522=""),"",(C523-C522)/60)</x:f>
      </x:c>
      <x:c r="G523" s="44" t="str">
        <x:f>IF(D523="","",EXP(-Configuracion!$B$4/Configuracion!$B$5*(1/AVERAGE(E522:E523)-1/(Configuracion!$B$3+273.15))))</x:f>
      </x:c>
      <x:c r="H523" s="44" t="str">
        <x:f>IF(D523="","",F523*G523)</x:f>
      </x:c>
      <x:c r="I523" s="44" t="str">
        <x:f>IF(D523="","",I522+H523)</x:f>
      </x:c>
      <x:c r="J523" s="46" t="str">
        <x:f>IF(D523="","",MIN(1,I523/Configuracion!$B$11))</x:f>
      </x:c>
      <x:c r="K523" s="48" t="str">
        <x:f>IF(D523="","",MAX(0,(Configuracion!$B$11-I523)/G523))</x:f>
      </x:c>
      <x:c r="L523" s="73" t="str">
        <x:f>IF(D523="","",C523+K523*60)</x:f>
      </x:c>
      <x:c r="M523" t="str">
        <x:f>IF(D523="","",IF(J523&gt;=Configuracion!$B$13,"DESLIZAR",IF(J523&gt;=Configuracion!$B$12,"PREPARARSE","NO DESLIZAR")))</x:f>
      </x:c>
      <x:c r="N523" s="41" t="str">
        <x:f>IF(D523="","",D523-$D$8)</x:f>
      </x:c>
      <x:c r="O523" s="46" t="str">
        <x:f>IF(D523="","",MAX(0,MIN(1,N523/Configuracion!$B$10)))</x:f>
      </x:c>
    </x:row>
    <x:row r="524">
      <x:c r="A524" s="34"/>
      <x:c r="B524" s="36"/>
      <x:c r="C524" s="72"/>
      <x:c r="D524" s="71"/>
      <x:c r="E524" s="41" t="str">
        <x:f>IF(D524="","",D524+273.15)</x:f>
      </x:c>
      <x:c r="F524" s="44" t="str">
        <x:f>IF(OR(C524="",D524="",C523=""),"",(C524-C523)/60)</x:f>
      </x:c>
      <x:c r="G524" s="44" t="str">
        <x:f>IF(D524="","",EXP(-Configuracion!$B$4/Configuracion!$B$5*(1/AVERAGE(E523:E524)-1/(Configuracion!$B$3+273.15))))</x:f>
      </x:c>
      <x:c r="H524" s="44" t="str">
        <x:f>IF(D524="","",F524*G524)</x:f>
      </x:c>
      <x:c r="I524" s="44" t="str">
        <x:f>IF(D524="","",I523+H524)</x:f>
      </x:c>
      <x:c r="J524" s="46" t="str">
        <x:f>IF(D524="","",MIN(1,I524/Configuracion!$B$11))</x:f>
      </x:c>
      <x:c r="K524" s="48" t="str">
        <x:f>IF(D524="","",MAX(0,(Configuracion!$B$11-I524)/G524))</x:f>
      </x:c>
      <x:c r="L524" s="73" t="str">
        <x:f>IF(D524="","",C524+K524*60)</x:f>
      </x:c>
      <x:c r="M524" t="str">
        <x:f>IF(D524="","",IF(J524&gt;=Configuracion!$B$13,"DESLIZAR",IF(J524&gt;=Configuracion!$B$12,"PREPARARSE","NO DESLIZAR")))</x:f>
      </x:c>
      <x:c r="N524" s="41" t="str">
        <x:f>IF(D524="","",D524-$D$8)</x:f>
      </x:c>
      <x:c r="O524" s="46" t="str">
        <x:f>IF(D524="","",MAX(0,MIN(1,N524/Configuracion!$B$10)))</x:f>
      </x:c>
    </x:row>
    <x:row r="525">
      <x:c r="A525" s="34"/>
      <x:c r="B525" s="36"/>
      <x:c r="C525" s="72"/>
      <x:c r="D525" s="71"/>
      <x:c r="E525" s="41" t="str">
        <x:f>IF(D525="","",D525+273.15)</x:f>
      </x:c>
      <x:c r="F525" s="44" t="str">
        <x:f>IF(OR(C525="",D525="",C524=""),"",(C525-C524)/60)</x:f>
      </x:c>
      <x:c r="G525" s="44" t="str">
        <x:f>IF(D525="","",EXP(-Configuracion!$B$4/Configuracion!$B$5*(1/AVERAGE(E524:E525)-1/(Configuracion!$B$3+273.15))))</x:f>
      </x:c>
      <x:c r="H525" s="44" t="str">
        <x:f>IF(D525="","",F525*G525)</x:f>
      </x:c>
      <x:c r="I525" s="44" t="str">
        <x:f>IF(D525="","",I524+H525)</x:f>
      </x:c>
      <x:c r="J525" s="46" t="str">
        <x:f>IF(D525="","",MIN(1,I525/Configuracion!$B$11))</x:f>
      </x:c>
      <x:c r="K525" s="48" t="str">
        <x:f>IF(D525="","",MAX(0,(Configuracion!$B$11-I525)/G525))</x:f>
      </x:c>
      <x:c r="L525" s="73" t="str">
        <x:f>IF(D525="","",C525+K525*60)</x:f>
      </x:c>
      <x:c r="M525" t="str">
        <x:f>IF(D525="","",IF(J525&gt;=Configuracion!$B$13,"DESLIZAR",IF(J525&gt;=Configuracion!$B$12,"PREPARARSE","NO DESLIZAR")))</x:f>
      </x:c>
      <x:c r="N525" s="41" t="str">
        <x:f>IF(D525="","",D525-$D$8)</x:f>
      </x:c>
      <x:c r="O525" s="46" t="str">
        <x:f>IF(D525="","",MAX(0,MIN(1,N525/Configuracion!$B$10)))</x:f>
      </x:c>
    </x:row>
    <x:row r="526">
      <x:c r="A526" s="34"/>
      <x:c r="B526" s="36"/>
      <x:c r="C526" s="72"/>
      <x:c r="D526" s="71"/>
      <x:c r="E526" s="41" t="str">
        <x:f>IF(D526="","",D526+273.15)</x:f>
      </x:c>
      <x:c r="F526" s="44" t="str">
        <x:f>IF(OR(C526="",D526="",C525=""),"",(C526-C525)/60)</x:f>
      </x:c>
      <x:c r="G526" s="44" t="str">
        <x:f>IF(D526="","",EXP(-Configuracion!$B$4/Configuracion!$B$5*(1/AVERAGE(E525:E526)-1/(Configuracion!$B$3+273.15))))</x:f>
      </x:c>
      <x:c r="H526" s="44" t="str">
        <x:f>IF(D526="","",F526*G526)</x:f>
      </x:c>
      <x:c r="I526" s="44" t="str">
        <x:f>IF(D526="","",I525+H526)</x:f>
      </x:c>
      <x:c r="J526" s="46" t="str">
        <x:f>IF(D526="","",MIN(1,I526/Configuracion!$B$11))</x:f>
      </x:c>
      <x:c r="K526" s="48" t="str">
        <x:f>IF(D526="","",MAX(0,(Configuracion!$B$11-I526)/G526))</x:f>
      </x:c>
      <x:c r="L526" s="73" t="str">
        <x:f>IF(D526="","",C526+K526*60)</x:f>
      </x:c>
      <x:c r="M526" t="str">
        <x:f>IF(D526="","",IF(J526&gt;=Configuracion!$B$13,"DESLIZAR",IF(J526&gt;=Configuracion!$B$12,"PREPARARSE","NO DESLIZAR")))</x:f>
      </x:c>
      <x:c r="N526" s="41" t="str">
        <x:f>IF(D526="","",D526-$D$8)</x:f>
      </x:c>
      <x:c r="O526" s="46" t="str">
        <x:f>IF(D526="","",MAX(0,MIN(1,N526/Configuracion!$B$10)))</x:f>
      </x:c>
    </x:row>
    <x:row r="527">
      <x:c r="A527" s="34"/>
      <x:c r="B527" s="36"/>
      <x:c r="C527" s="72"/>
      <x:c r="D527" s="71"/>
      <x:c r="E527" s="41" t="str">
        <x:f>IF(D527="","",D527+273.15)</x:f>
      </x:c>
      <x:c r="F527" s="44" t="str">
        <x:f>IF(OR(C527="",D527="",C526=""),"",(C527-C526)/60)</x:f>
      </x:c>
      <x:c r="G527" s="44" t="str">
        <x:f>IF(D527="","",EXP(-Configuracion!$B$4/Configuracion!$B$5*(1/AVERAGE(E526:E527)-1/(Configuracion!$B$3+273.15))))</x:f>
      </x:c>
      <x:c r="H527" s="44" t="str">
        <x:f>IF(D527="","",F527*G527)</x:f>
      </x:c>
      <x:c r="I527" s="44" t="str">
        <x:f>IF(D527="","",I526+H527)</x:f>
      </x:c>
      <x:c r="J527" s="46" t="str">
        <x:f>IF(D527="","",MIN(1,I527/Configuracion!$B$11))</x:f>
      </x:c>
      <x:c r="K527" s="48" t="str">
        <x:f>IF(D527="","",MAX(0,(Configuracion!$B$11-I527)/G527))</x:f>
      </x:c>
      <x:c r="L527" s="73" t="str">
        <x:f>IF(D527="","",C527+K527*60)</x:f>
      </x:c>
      <x:c r="M527" t="str">
        <x:f>IF(D527="","",IF(J527&gt;=Configuracion!$B$13,"DESLIZAR",IF(J527&gt;=Configuracion!$B$12,"PREPARARSE","NO DESLIZAR")))</x:f>
      </x:c>
      <x:c r="N527" s="41" t="str">
        <x:f>IF(D527="","",D527-$D$8)</x:f>
      </x:c>
      <x:c r="O527" s="46" t="str">
        <x:f>IF(D527="","",MAX(0,MIN(1,N527/Configuracion!$B$10)))</x:f>
      </x:c>
    </x:row>
    <x:row r="528">
      <x:c r="A528" s="34"/>
      <x:c r="B528" s="36"/>
      <x:c r="C528" s="72"/>
      <x:c r="D528" s="71"/>
      <x:c r="E528" s="41" t="str">
        <x:f>IF(D528="","",D528+273.15)</x:f>
      </x:c>
      <x:c r="F528" s="44" t="str">
        <x:f>IF(OR(C528="",D528="",C527=""),"",(C528-C527)/60)</x:f>
      </x:c>
      <x:c r="G528" s="44" t="str">
        <x:f>IF(D528="","",EXP(-Configuracion!$B$4/Configuracion!$B$5*(1/AVERAGE(E527:E528)-1/(Configuracion!$B$3+273.15))))</x:f>
      </x:c>
      <x:c r="H528" s="44" t="str">
        <x:f>IF(D528="","",F528*G528)</x:f>
      </x:c>
      <x:c r="I528" s="44" t="str">
        <x:f>IF(D528="","",I527+H528)</x:f>
      </x:c>
      <x:c r="J528" s="46" t="str">
        <x:f>IF(D528="","",MIN(1,I528/Configuracion!$B$11))</x:f>
      </x:c>
      <x:c r="K528" s="48" t="str">
        <x:f>IF(D528="","",MAX(0,(Configuracion!$B$11-I528)/G528))</x:f>
      </x:c>
      <x:c r="L528" s="73" t="str">
        <x:f>IF(D528="","",C528+K528*60)</x:f>
      </x:c>
      <x:c r="M528" t="str">
        <x:f>IF(D528="","",IF(J528&gt;=Configuracion!$B$13,"DESLIZAR",IF(J528&gt;=Configuracion!$B$12,"PREPARARSE","NO DESLIZAR")))</x:f>
      </x:c>
      <x:c r="N528" s="41" t="str">
        <x:f>IF(D528="","",D528-$D$8)</x:f>
      </x:c>
      <x:c r="O528" s="46" t="str">
        <x:f>IF(D528="","",MAX(0,MIN(1,N528/Configuracion!$B$10)))</x:f>
      </x:c>
    </x:row>
    <x:row r="529">
      <x:c r="A529" s="34"/>
      <x:c r="B529" s="36"/>
      <x:c r="C529" s="72"/>
      <x:c r="D529" s="71"/>
      <x:c r="E529" s="41" t="str">
        <x:f>IF(D529="","",D529+273.15)</x:f>
      </x:c>
      <x:c r="F529" s="44" t="str">
        <x:f>IF(OR(C529="",D529="",C528=""),"",(C529-C528)/60)</x:f>
      </x:c>
      <x:c r="G529" s="44" t="str">
        <x:f>IF(D529="","",EXP(-Configuracion!$B$4/Configuracion!$B$5*(1/AVERAGE(E528:E529)-1/(Configuracion!$B$3+273.15))))</x:f>
      </x:c>
      <x:c r="H529" s="44" t="str">
        <x:f>IF(D529="","",F529*G529)</x:f>
      </x:c>
      <x:c r="I529" s="44" t="str">
        <x:f>IF(D529="","",I528+H529)</x:f>
      </x:c>
      <x:c r="J529" s="46" t="str">
        <x:f>IF(D529="","",MIN(1,I529/Configuracion!$B$11))</x:f>
      </x:c>
      <x:c r="K529" s="48" t="str">
        <x:f>IF(D529="","",MAX(0,(Configuracion!$B$11-I529)/G529))</x:f>
      </x:c>
      <x:c r="L529" s="73" t="str">
        <x:f>IF(D529="","",C529+K529*60)</x:f>
      </x:c>
      <x:c r="M529" t="str">
        <x:f>IF(D529="","",IF(J529&gt;=Configuracion!$B$13,"DESLIZAR",IF(J529&gt;=Configuracion!$B$12,"PREPARARSE","NO DESLIZAR")))</x:f>
      </x:c>
      <x:c r="N529" s="41" t="str">
        <x:f>IF(D529="","",D529-$D$8)</x:f>
      </x:c>
      <x:c r="O529" s="46" t="str">
        <x:f>IF(D529="","",MAX(0,MIN(1,N529/Configuracion!$B$10)))</x:f>
      </x:c>
    </x:row>
    <x:row r="530">
      <x:c r="A530" s="34"/>
      <x:c r="B530" s="36"/>
      <x:c r="C530" s="72"/>
      <x:c r="D530" s="71"/>
      <x:c r="E530" s="41" t="str">
        <x:f>IF(D530="","",D530+273.15)</x:f>
      </x:c>
      <x:c r="F530" s="44" t="str">
        <x:f>IF(OR(C530="",D530="",C529=""),"",(C530-C529)/60)</x:f>
      </x:c>
      <x:c r="G530" s="44" t="str">
        <x:f>IF(D530="","",EXP(-Configuracion!$B$4/Configuracion!$B$5*(1/AVERAGE(E529:E530)-1/(Configuracion!$B$3+273.15))))</x:f>
      </x:c>
      <x:c r="H530" s="44" t="str">
        <x:f>IF(D530="","",F530*G530)</x:f>
      </x:c>
      <x:c r="I530" s="44" t="str">
        <x:f>IF(D530="","",I529+H530)</x:f>
      </x:c>
      <x:c r="J530" s="46" t="str">
        <x:f>IF(D530="","",MIN(1,I530/Configuracion!$B$11))</x:f>
      </x:c>
      <x:c r="K530" s="48" t="str">
        <x:f>IF(D530="","",MAX(0,(Configuracion!$B$11-I530)/G530))</x:f>
      </x:c>
      <x:c r="L530" s="73" t="str">
        <x:f>IF(D530="","",C530+K530*60)</x:f>
      </x:c>
      <x:c r="M530" t="str">
        <x:f>IF(D530="","",IF(J530&gt;=Configuracion!$B$13,"DESLIZAR",IF(J530&gt;=Configuracion!$B$12,"PREPARARSE","NO DESLIZAR")))</x:f>
      </x:c>
      <x:c r="N530" s="41" t="str">
        <x:f>IF(D530="","",D530-$D$8)</x:f>
      </x:c>
      <x:c r="O530" s="46" t="str">
        <x:f>IF(D530="","",MAX(0,MIN(1,N530/Configuracion!$B$10)))</x:f>
      </x:c>
    </x:row>
    <x:row r="531">
      <x:c r="A531" s="34"/>
      <x:c r="B531" s="36"/>
      <x:c r="C531" s="72"/>
      <x:c r="D531" s="71"/>
      <x:c r="E531" s="41" t="str">
        <x:f>IF(D531="","",D531+273.15)</x:f>
      </x:c>
      <x:c r="F531" s="44" t="str">
        <x:f>IF(OR(C531="",D531="",C530=""),"",(C531-C530)/60)</x:f>
      </x:c>
      <x:c r="G531" s="44" t="str">
        <x:f>IF(D531="","",EXP(-Configuracion!$B$4/Configuracion!$B$5*(1/AVERAGE(E530:E531)-1/(Configuracion!$B$3+273.15))))</x:f>
      </x:c>
      <x:c r="H531" s="44" t="str">
        <x:f>IF(D531="","",F531*G531)</x:f>
      </x:c>
      <x:c r="I531" s="44" t="str">
        <x:f>IF(D531="","",I530+H531)</x:f>
      </x:c>
      <x:c r="J531" s="46" t="str">
        <x:f>IF(D531="","",MIN(1,I531/Configuracion!$B$11))</x:f>
      </x:c>
      <x:c r="K531" s="48" t="str">
        <x:f>IF(D531="","",MAX(0,(Configuracion!$B$11-I531)/G531))</x:f>
      </x:c>
      <x:c r="L531" s="73" t="str">
        <x:f>IF(D531="","",C531+K531*60)</x:f>
      </x:c>
      <x:c r="M531" t="str">
        <x:f>IF(D531="","",IF(J531&gt;=Configuracion!$B$13,"DESLIZAR",IF(J531&gt;=Configuracion!$B$12,"PREPARARSE","NO DESLIZAR")))</x:f>
      </x:c>
      <x:c r="N531" s="41" t="str">
        <x:f>IF(D531="","",D531-$D$8)</x:f>
      </x:c>
      <x:c r="O531" s="46" t="str">
        <x:f>IF(D531="","",MAX(0,MIN(1,N531/Configuracion!$B$10)))</x:f>
      </x:c>
    </x:row>
    <x:row r="532">
      <x:c r="A532" s="34"/>
      <x:c r="B532" s="36"/>
      <x:c r="C532" s="72"/>
      <x:c r="D532" s="71"/>
      <x:c r="E532" s="41" t="str">
        <x:f>IF(D532="","",D532+273.15)</x:f>
      </x:c>
      <x:c r="F532" s="44" t="str">
        <x:f>IF(OR(C532="",D532="",C531=""),"",(C532-C531)/60)</x:f>
      </x:c>
      <x:c r="G532" s="44" t="str">
        <x:f>IF(D532="","",EXP(-Configuracion!$B$4/Configuracion!$B$5*(1/AVERAGE(E531:E532)-1/(Configuracion!$B$3+273.15))))</x:f>
      </x:c>
      <x:c r="H532" s="44" t="str">
        <x:f>IF(D532="","",F532*G532)</x:f>
      </x:c>
      <x:c r="I532" s="44" t="str">
        <x:f>IF(D532="","",I531+H532)</x:f>
      </x:c>
      <x:c r="J532" s="46" t="str">
        <x:f>IF(D532="","",MIN(1,I532/Configuracion!$B$11))</x:f>
      </x:c>
      <x:c r="K532" s="48" t="str">
        <x:f>IF(D532="","",MAX(0,(Configuracion!$B$11-I532)/G532))</x:f>
      </x:c>
      <x:c r="L532" s="73" t="str">
        <x:f>IF(D532="","",C532+K532*60)</x:f>
      </x:c>
      <x:c r="M532" t="str">
        <x:f>IF(D532="","",IF(J532&gt;=Configuracion!$B$13,"DESLIZAR",IF(J532&gt;=Configuracion!$B$12,"PREPARARSE","NO DESLIZAR")))</x:f>
      </x:c>
      <x:c r="N532" s="41" t="str">
        <x:f>IF(D532="","",D532-$D$8)</x:f>
      </x:c>
      <x:c r="O532" s="46" t="str">
        <x:f>IF(D532="","",MAX(0,MIN(1,N532/Configuracion!$B$10)))</x:f>
      </x:c>
    </x:row>
    <x:row r="533">
      <x:c r="A533" s="34"/>
      <x:c r="B533" s="36"/>
      <x:c r="C533" s="72"/>
      <x:c r="D533" s="71"/>
      <x:c r="E533" s="41" t="str">
        <x:f>IF(D533="","",D533+273.15)</x:f>
      </x:c>
      <x:c r="F533" s="44" t="str">
        <x:f>IF(OR(C533="",D533="",C532=""),"",(C533-C532)/60)</x:f>
      </x:c>
      <x:c r="G533" s="44" t="str">
        <x:f>IF(D533="","",EXP(-Configuracion!$B$4/Configuracion!$B$5*(1/AVERAGE(E532:E533)-1/(Configuracion!$B$3+273.15))))</x:f>
      </x:c>
      <x:c r="H533" s="44" t="str">
        <x:f>IF(D533="","",F533*G533)</x:f>
      </x:c>
      <x:c r="I533" s="44" t="str">
        <x:f>IF(D533="","",I532+H533)</x:f>
      </x:c>
      <x:c r="J533" s="46" t="str">
        <x:f>IF(D533="","",MIN(1,I533/Configuracion!$B$11))</x:f>
      </x:c>
      <x:c r="K533" s="48" t="str">
        <x:f>IF(D533="","",MAX(0,(Configuracion!$B$11-I533)/G533))</x:f>
      </x:c>
      <x:c r="L533" s="73" t="str">
        <x:f>IF(D533="","",C533+K533*60)</x:f>
      </x:c>
      <x:c r="M533" t="str">
        <x:f>IF(D533="","",IF(J533&gt;=Configuracion!$B$13,"DESLIZAR",IF(J533&gt;=Configuracion!$B$12,"PREPARARSE","NO DESLIZAR")))</x:f>
      </x:c>
      <x:c r="N533" s="41" t="str">
        <x:f>IF(D533="","",D533-$D$8)</x:f>
      </x:c>
      <x:c r="O533" s="46" t="str">
        <x:f>IF(D533="","",MAX(0,MIN(1,N533/Configuracion!$B$10)))</x:f>
      </x:c>
    </x:row>
    <x:row r="534">
      <x:c r="A534" s="34"/>
      <x:c r="B534" s="36"/>
      <x:c r="C534" s="72"/>
      <x:c r="D534" s="71"/>
      <x:c r="E534" s="41" t="str">
        <x:f>IF(D534="","",D534+273.15)</x:f>
      </x:c>
      <x:c r="F534" s="44" t="str">
        <x:f>IF(OR(C534="",D534="",C533=""),"",(C534-C533)/60)</x:f>
      </x:c>
      <x:c r="G534" s="44" t="str">
        <x:f>IF(D534="","",EXP(-Configuracion!$B$4/Configuracion!$B$5*(1/AVERAGE(E533:E534)-1/(Configuracion!$B$3+273.15))))</x:f>
      </x:c>
      <x:c r="H534" s="44" t="str">
        <x:f>IF(D534="","",F534*G534)</x:f>
      </x:c>
      <x:c r="I534" s="44" t="str">
        <x:f>IF(D534="","",I533+H534)</x:f>
      </x:c>
      <x:c r="J534" s="46" t="str">
        <x:f>IF(D534="","",MIN(1,I534/Configuracion!$B$11))</x:f>
      </x:c>
      <x:c r="K534" s="48" t="str">
        <x:f>IF(D534="","",MAX(0,(Configuracion!$B$11-I534)/G534))</x:f>
      </x:c>
      <x:c r="L534" s="73" t="str">
        <x:f>IF(D534="","",C534+K534*60)</x:f>
      </x:c>
      <x:c r="M534" t="str">
        <x:f>IF(D534="","",IF(J534&gt;=Configuracion!$B$13,"DESLIZAR",IF(J534&gt;=Configuracion!$B$12,"PREPARARSE","NO DESLIZAR")))</x:f>
      </x:c>
      <x:c r="N534" s="41" t="str">
        <x:f>IF(D534="","",D534-$D$8)</x:f>
      </x:c>
      <x:c r="O534" s="46" t="str">
        <x:f>IF(D534="","",MAX(0,MIN(1,N534/Configuracion!$B$10)))</x:f>
      </x:c>
    </x:row>
    <x:row r="535">
      <x:c r="A535" s="34"/>
      <x:c r="B535" s="36"/>
      <x:c r="C535" s="72"/>
      <x:c r="D535" s="71"/>
      <x:c r="E535" s="41" t="str">
        <x:f>IF(D535="","",D535+273.15)</x:f>
      </x:c>
      <x:c r="F535" s="44" t="str">
        <x:f>IF(OR(C535="",D535="",C534=""),"",(C535-C534)/60)</x:f>
      </x:c>
      <x:c r="G535" s="44" t="str">
        <x:f>IF(D535="","",EXP(-Configuracion!$B$4/Configuracion!$B$5*(1/AVERAGE(E534:E535)-1/(Configuracion!$B$3+273.15))))</x:f>
      </x:c>
      <x:c r="H535" s="44" t="str">
        <x:f>IF(D535="","",F535*G535)</x:f>
      </x:c>
      <x:c r="I535" s="44" t="str">
        <x:f>IF(D535="","",I534+H535)</x:f>
      </x:c>
      <x:c r="J535" s="46" t="str">
        <x:f>IF(D535="","",MIN(1,I535/Configuracion!$B$11))</x:f>
      </x:c>
      <x:c r="K535" s="48" t="str">
        <x:f>IF(D535="","",MAX(0,(Configuracion!$B$11-I535)/G535))</x:f>
      </x:c>
      <x:c r="L535" s="73" t="str">
        <x:f>IF(D535="","",C535+K535*60)</x:f>
      </x:c>
      <x:c r="M535" t="str">
        <x:f>IF(D535="","",IF(J535&gt;=Configuracion!$B$13,"DESLIZAR",IF(J535&gt;=Configuracion!$B$12,"PREPARARSE","NO DESLIZAR")))</x:f>
      </x:c>
      <x:c r="N535" s="41" t="str">
        <x:f>IF(D535="","",D535-$D$8)</x:f>
      </x:c>
      <x:c r="O535" s="46" t="str">
        <x:f>IF(D535="","",MAX(0,MIN(1,N535/Configuracion!$B$10)))</x:f>
      </x:c>
    </x:row>
    <x:row r="536">
      <x:c r="A536" s="34"/>
      <x:c r="B536" s="36"/>
      <x:c r="C536" s="72"/>
      <x:c r="D536" s="71"/>
      <x:c r="E536" s="41" t="str">
        <x:f>IF(D536="","",D536+273.15)</x:f>
      </x:c>
      <x:c r="F536" s="44" t="str">
        <x:f>IF(OR(C536="",D536="",C535=""),"",(C536-C535)/60)</x:f>
      </x:c>
      <x:c r="G536" s="44" t="str">
        <x:f>IF(D536="","",EXP(-Configuracion!$B$4/Configuracion!$B$5*(1/AVERAGE(E535:E536)-1/(Configuracion!$B$3+273.15))))</x:f>
      </x:c>
      <x:c r="H536" s="44" t="str">
        <x:f>IF(D536="","",F536*G536)</x:f>
      </x:c>
      <x:c r="I536" s="44" t="str">
        <x:f>IF(D536="","",I535+H536)</x:f>
      </x:c>
      <x:c r="J536" s="46" t="str">
        <x:f>IF(D536="","",MIN(1,I536/Configuracion!$B$11))</x:f>
      </x:c>
      <x:c r="K536" s="48" t="str">
        <x:f>IF(D536="","",MAX(0,(Configuracion!$B$11-I536)/G536))</x:f>
      </x:c>
      <x:c r="L536" s="73" t="str">
        <x:f>IF(D536="","",C536+K536*60)</x:f>
      </x:c>
      <x:c r="M536" t="str">
        <x:f>IF(D536="","",IF(J536&gt;=Configuracion!$B$13,"DESLIZAR",IF(J536&gt;=Configuracion!$B$12,"PREPARARSE","NO DESLIZAR")))</x:f>
      </x:c>
      <x:c r="N536" s="41" t="str">
        <x:f>IF(D536="","",D536-$D$8)</x:f>
      </x:c>
      <x:c r="O536" s="46" t="str">
        <x:f>IF(D536="","",MAX(0,MIN(1,N536/Configuracion!$B$10)))</x:f>
      </x:c>
    </x:row>
    <x:row r="537">
      <x:c r="A537" s="34"/>
      <x:c r="B537" s="36"/>
      <x:c r="C537" s="72"/>
      <x:c r="D537" s="71"/>
      <x:c r="E537" s="41" t="str">
        <x:f>IF(D537="","",D537+273.15)</x:f>
      </x:c>
      <x:c r="F537" s="44" t="str">
        <x:f>IF(OR(C537="",D537="",C536=""),"",(C537-C536)/60)</x:f>
      </x:c>
      <x:c r="G537" s="44" t="str">
        <x:f>IF(D537="","",EXP(-Configuracion!$B$4/Configuracion!$B$5*(1/AVERAGE(E536:E537)-1/(Configuracion!$B$3+273.15))))</x:f>
      </x:c>
      <x:c r="H537" s="44" t="str">
        <x:f>IF(D537="","",F537*G537)</x:f>
      </x:c>
      <x:c r="I537" s="44" t="str">
        <x:f>IF(D537="","",I536+H537)</x:f>
      </x:c>
      <x:c r="J537" s="46" t="str">
        <x:f>IF(D537="","",MIN(1,I537/Configuracion!$B$11))</x:f>
      </x:c>
      <x:c r="K537" s="48" t="str">
        <x:f>IF(D537="","",MAX(0,(Configuracion!$B$11-I537)/G537))</x:f>
      </x:c>
      <x:c r="L537" s="73" t="str">
        <x:f>IF(D537="","",C537+K537*60)</x:f>
      </x:c>
      <x:c r="M537" t="str">
        <x:f>IF(D537="","",IF(J537&gt;=Configuracion!$B$13,"DESLIZAR",IF(J537&gt;=Configuracion!$B$12,"PREPARARSE","NO DESLIZAR")))</x:f>
      </x:c>
      <x:c r="N537" s="41" t="str">
        <x:f>IF(D537="","",D537-$D$8)</x:f>
      </x:c>
      <x:c r="O537" s="46" t="str">
        <x:f>IF(D537="","",MAX(0,MIN(1,N537/Configuracion!$B$10)))</x:f>
      </x:c>
    </x:row>
    <x:row r="538">
      <x:c r="A538" s="34"/>
      <x:c r="B538" s="36"/>
      <x:c r="C538" s="72"/>
      <x:c r="D538" s="71"/>
      <x:c r="E538" s="41" t="str">
        <x:f>IF(D538="","",D538+273.15)</x:f>
      </x:c>
      <x:c r="F538" s="44" t="str">
        <x:f>IF(OR(C538="",D538="",C537=""),"",(C538-C537)/60)</x:f>
      </x:c>
      <x:c r="G538" s="44" t="str">
        <x:f>IF(D538="","",EXP(-Configuracion!$B$4/Configuracion!$B$5*(1/AVERAGE(E537:E538)-1/(Configuracion!$B$3+273.15))))</x:f>
      </x:c>
      <x:c r="H538" s="44" t="str">
        <x:f>IF(D538="","",F538*G538)</x:f>
      </x:c>
      <x:c r="I538" s="44" t="str">
        <x:f>IF(D538="","",I537+H538)</x:f>
      </x:c>
      <x:c r="J538" s="46" t="str">
        <x:f>IF(D538="","",MIN(1,I538/Configuracion!$B$11))</x:f>
      </x:c>
      <x:c r="K538" s="48" t="str">
        <x:f>IF(D538="","",MAX(0,(Configuracion!$B$11-I538)/G538))</x:f>
      </x:c>
      <x:c r="L538" s="73" t="str">
        <x:f>IF(D538="","",C538+K538*60)</x:f>
      </x:c>
      <x:c r="M538" t="str">
        <x:f>IF(D538="","",IF(J538&gt;=Configuracion!$B$13,"DESLIZAR",IF(J538&gt;=Configuracion!$B$12,"PREPARARSE","NO DESLIZAR")))</x:f>
      </x:c>
      <x:c r="N538" s="41" t="str">
        <x:f>IF(D538="","",D538-$D$8)</x:f>
      </x:c>
      <x:c r="O538" s="46" t="str">
        <x:f>IF(D538="","",MAX(0,MIN(1,N538/Configuracion!$B$10)))</x:f>
      </x:c>
    </x:row>
    <x:row r="539">
      <x:c r="A539" s="34"/>
      <x:c r="B539" s="36"/>
      <x:c r="C539" s="72"/>
      <x:c r="D539" s="71"/>
      <x:c r="E539" s="41" t="str">
        <x:f>IF(D539="","",D539+273.15)</x:f>
      </x:c>
      <x:c r="F539" s="44" t="str">
        <x:f>IF(OR(C539="",D539="",C538=""),"",(C539-C538)/60)</x:f>
      </x:c>
      <x:c r="G539" s="44" t="str">
        <x:f>IF(D539="","",EXP(-Configuracion!$B$4/Configuracion!$B$5*(1/AVERAGE(E538:E539)-1/(Configuracion!$B$3+273.15))))</x:f>
      </x:c>
      <x:c r="H539" s="44" t="str">
        <x:f>IF(D539="","",F539*G539)</x:f>
      </x:c>
      <x:c r="I539" s="44" t="str">
        <x:f>IF(D539="","",I538+H539)</x:f>
      </x:c>
      <x:c r="J539" s="46" t="str">
        <x:f>IF(D539="","",MIN(1,I539/Configuracion!$B$11))</x:f>
      </x:c>
      <x:c r="K539" s="48" t="str">
        <x:f>IF(D539="","",MAX(0,(Configuracion!$B$11-I539)/G539))</x:f>
      </x:c>
      <x:c r="L539" s="73" t="str">
        <x:f>IF(D539="","",C539+K539*60)</x:f>
      </x:c>
      <x:c r="M539" t="str">
        <x:f>IF(D539="","",IF(J539&gt;=Configuracion!$B$13,"DESLIZAR",IF(J539&gt;=Configuracion!$B$12,"PREPARARSE","NO DESLIZAR")))</x:f>
      </x:c>
      <x:c r="N539" s="41" t="str">
        <x:f>IF(D539="","",D539-$D$8)</x:f>
      </x:c>
      <x:c r="O539" s="46" t="str">
        <x:f>IF(D539="","",MAX(0,MIN(1,N539/Configuracion!$B$10)))</x:f>
      </x:c>
    </x:row>
    <x:row r="540">
      <x:c r="A540" s="34"/>
      <x:c r="B540" s="36"/>
      <x:c r="C540" s="72"/>
      <x:c r="D540" s="71"/>
      <x:c r="E540" s="41" t="str">
        <x:f>IF(D540="","",D540+273.15)</x:f>
      </x:c>
      <x:c r="F540" s="44" t="str">
        <x:f>IF(OR(C540="",D540="",C539=""),"",(C540-C539)/60)</x:f>
      </x:c>
      <x:c r="G540" s="44" t="str">
        <x:f>IF(D540="","",EXP(-Configuracion!$B$4/Configuracion!$B$5*(1/AVERAGE(E539:E540)-1/(Configuracion!$B$3+273.15))))</x:f>
      </x:c>
      <x:c r="H540" s="44" t="str">
        <x:f>IF(D540="","",F540*G540)</x:f>
      </x:c>
      <x:c r="I540" s="44" t="str">
        <x:f>IF(D540="","",I539+H540)</x:f>
      </x:c>
      <x:c r="J540" s="46" t="str">
        <x:f>IF(D540="","",MIN(1,I540/Configuracion!$B$11))</x:f>
      </x:c>
      <x:c r="K540" s="48" t="str">
        <x:f>IF(D540="","",MAX(0,(Configuracion!$B$11-I540)/G540))</x:f>
      </x:c>
      <x:c r="L540" s="73" t="str">
        <x:f>IF(D540="","",C540+K540*60)</x:f>
      </x:c>
      <x:c r="M540" t="str">
        <x:f>IF(D540="","",IF(J540&gt;=Configuracion!$B$13,"DESLIZAR",IF(J540&gt;=Configuracion!$B$12,"PREPARARSE","NO DESLIZAR")))</x:f>
      </x:c>
      <x:c r="N540" s="41" t="str">
        <x:f>IF(D540="","",D540-$D$8)</x:f>
      </x:c>
      <x:c r="O540" s="46" t="str">
        <x:f>IF(D540="","",MAX(0,MIN(1,N540/Configuracion!$B$10)))</x:f>
      </x:c>
    </x:row>
    <x:row r="541">
      <x:c r="A541" s="34"/>
      <x:c r="B541" s="36"/>
      <x:c r="C541" s="72"/>
      <x:c r="D541" s="71"/>
      <x:c r="E541" s="41" t="str">
        <x:f>IF(D541="","",D541+273.15)</x:f>
      </x:c>
      <x:c r="F541" s="44" t="str">
        <x:f>IF(OR(C541="",D541="",C540=""),"",(C541-C540)/60)</x:f>
      </x:c>
      <x:c r="G541" s="44" t="str">
        <x:f>IF(D541="","",EXP(-Configuracion!$B$4/Configuracion!$B$5*(1/AVERAGE(E540:E541)-1/(Configuracion!$B$3+273.15))))</x:f>
      </x:c>
      <x:c r="H541" s="44" t="str">
        <x:f>IF(D541="","",F541*G541)</x:f>
      </x:c>
      <x:c r="I541" s="44" t="str">
        <x:f>IF(D541="","",I540+H541)</x:f>
      </x:c>
      <x:c r="J541" s="46" t="str">
        <x:f>IF(D541="","",MIN(1,I541/Configuracion!$B$11))</x:f>
      </x:c>
      <x:c r="K541" s="48" t="str">
        <x:f>IF(D541="","",MAX(0,(Configuracion!$B$11-I541)/G541))</x:f>
      </x:c>
      <x:c r="L541" s="73" t="str">
        <x:f>IF(D541="","",C541+K541*60)</x:f>
      </x:c>
      <x:c r="M541" t="str">
        <x:f>IF(D541="","",IF(J541&gt;=Configuracion!$B$13,"DESLIZAR",IF(J541&gt;=Configuracion!$B$12,"PREPARARSE","NO DESLIZAR")))</x:f>
      </x:c>
      <x:c r="N541" s="41" t="str">
        <x:f>IF(D541="","",D541-$D$8)</x:f>
      </x:c>
      <x:c r="O541" s="46" t="str">
        <x:f>IF(D541="","",MAX(0,MIN(1,N541/Configuracion!$B$10)))</x:f>
      </x:c>
    </x:row>
    <x:row r="542">
      <x:c r="A542" s="34"/>
      <x:c r="B542" s="36"/>
      <x:c r="C542" s="72"/>
      <x:c r="D542" s="71"/>
      <x:c r="E542" s="41" t="str">
        <x:f>IF(D542="","",D542+273.15)</x:f>
      </x:c>
      <x:c r="F542" s="44" t="str">
        <x:f>IF(OR(C542="",D542="",C541=""),"",(C542-C541)/60)</x:f>
      </x:c>
      <x:c r="G542" s="44" t="str">
        <x:f>IF(D542="","",EXP(-Configuracion!$B$4/Configuracion!$B$5*(1/AVERAGE(E541:E542)-1/(Configuracion!$B$3+273.15))))</x:f>
      </x:c>
      <x:c r="H542" s="44" t="str">
        <x:f>IF(D542="","",F542*G542)</x:f>
      </x:c>
      <x:c r="I542" s="44" t="str">
        <x:f>IF(D542="","",I541+H542)</x:f>
      </x:c>
      <x:c r="J542" s="46" t="str">
        <x:f>IF(D542="","",MIN(1,I542/Configuracion!$B$11))</x:f>
      </x:c>
      <x:c r="K542" s="48" t="str">
        <x:f>IF(D542="","",MAX(0,(Configuracion!$B$11-I542)/G542))</x:f>
      </x:c>
      <x:c r="L542" s="73" t="str">
        <x:f>IF(D542="","",C542+K542*60)</x:f>
      </x:c>
      <x:c r="M542" t="str">
        <x:f>IF(D542="","",IF(J542&gt;=Configuracion!$B$13,"DESLIZAR",IF(J542&gt;=Configuracion!$B$12,"PREPARARSE","NO DESLIZAR")))</x:f>
      </x:c>
      <x:c r="N542" s="41" t="str">
        <x:f>IF(D542="","",D542-$D$8)</x:f>
      </x:c>
      <x:c r="O542" s="46" t="str">
        <x:f>IF(D542="","",MAX(0,MIN(1,N542/Configuracion!$B$10)))</x:f>
      </x:c>
    </x:row>
    <x:row r="543">
      <x:c r="A543" s="34"/>
      <x:c r="B543" s="36"/>
      <x:c r="C543" s="72"/>
      <x:c r="D543" s="71"/>
      <x:c r="E543" s="41" t="str">
        <x:f>IF(D543="","",D543+273.15)</x:f>
      </x:c>
      <x:c r="F543" s="44" t="str">
        <x:f>IF(OR(C543="",D543="",C542=""),"",(C543-C542)/60)</x:f>
      </x:c>
      <x:c r="G543" s="44" t="str">
        <x:f>IF(D543="","",EXP(-Configuracion!$B$4/Configuracion!$B$5*(1/AVERAGE(E542:E543)-1/(Configuracion!$B$3+273.15))))</x:f>
      </x:c>
      <x:c r="H543" s="44" t="str">
        <x:f>IF(D543="","",F543*G543)</x:f>
      </x:c>
      <x:c r="I543" s="44" t="str">
        <x:f>IF(D543="","",I542+H543)</x:f>
      </x:c>
      <x:c r="J543" s="46" t="str">
        <x:f>IF(D543="","",MIN(1,I543/Configuracion!$B$11))</x:f>
      </x:c>
      <x:c r="K543" s="48" t="str">
        <x:f>IF(D543="","",MAX(0,(Configuracion!$B$11-I543)/G543))</x:f>
      </x:c>
      <x:c r="L543" s="73" t="str">
        <x:f>IF(D543="","",C543+K543*60)</x:f>
      </x:c>
      <x:c r="M543" t="str">
        <x:f>IF(D543="","",IF(J543&gt;=Configuracion!$B$13,"DESLIZAR",IF(J543&gt;=Configuracion!$B$12,"PREPARARSE","NO DESLIZAR")))</x:f>
      </x:c>
      <x:c r="N543" s="41" t="str">
        <x:f>IF(D543="","",D543-$D$8)</x:f>
      </x:c>
      <x:c r="O543" s="46" t="str">
        <x:f>IF(D543="","",MAX(0,MIN(1,N543/Configuracion!$B$10)))</x:f>
      </x:c>
    </x:row>
    <x:row r="544">
      <x:c r="A544" s="34"/>
      <x:c r="B544" s="36"/>
      <x:c r="C544" s="72"/>
      <x:c r="D544" s="71"/>
      <x:c r="E544" s="41" t="str">
        <x:f>IF(D544="","",D544+273.15)</x:f>
      </x:c>
      <x:c r="F544" s="44" t="str">
        <x:f>IF(OR(C544="",D544="",C543=""),"",(C544-C543)/60)</x:f>
      </x:c>
      <x:c r="G544" s="44" t="str">
        <x:f>IF(D544="","",EXP(-Configuracion!$B$4/Configuracion!$B$5*(1/AVERAGE(E543:E544)-1/(Configuracion!$B$3+273.15))))</x:f>
      </x:c>
      <x:c r="H544" s="44" t="str">
        <x:f>IF(D544="","",F544*G544)</x:f>
      </x:c>
      <x:c r="I544" s="44" t="str">
        <x:f>IF(D544="","",I543+H544)</x:f>
      </x:c>
      <x:c r="J544" s="46" t="str">
        <x:f>IF(D544="","",MIN(1,I544/Configuracion!$B$11))</x:f>
      </x:c>
      <x:c r="K544" s="48" t="str">
        <x:f>IF(D544="","",MAX(0,(Configuracion!$B$11-I544)/G544))</x:f>
      </x:c>
      <x:c r="L544" s="73" t="str">
        <x:f>IF(D544="","",C544+K544*60)</x:f>
      </x:c>
      <x:c r="M544" t="str">
        <x:f>IF(D544="","",IF(J544&gt;=Configuracion!$B$13,"DESLIZAR",IF(J544&gt;=Configuracion!$B$12,"PREPARARSE","NO DESLIZAR")))</x:f>
      </x:c>
      <x:c r="N544" s="41" t="str">
        <x:f>IF(D544="","",D544-$D$8)</x:f>
      </x:c>
      <x:c r="O544" s="46" t="str">
        <x:f>IF(D544="","",MAX(0,MIN(1,N544/Configuracion!$B$10)))</x:f>
      </x:c>
    </x:row>
    <x:row r="545">
      <x:c r="A545" s="34"/>
      <x:c r="B545" s="36"/>
      <x:c r="C545" s="72"/>
      <x:c r="D545" s="71"/>
      <x:c r="E545" s="41" t="str">
        <x:f>IF(D545="","",D545+273.15)</x:f>
      </x:c>
      <x:c r="F545" s="44" t="str">
        <x:f>IF(OR(C545="",D545="",C544=""),"",(C545-C544)/60)</x:f>
      </x:c>
      <x:c r="G545" s="44" t="str">
        <x:f>IF(D545="","",EXP(-Configuracion!$B$4/Configuracion!$B$5*(1/AVERAGE(E544:E545)-1/(Configuracion!$B$3+273.15))))</x:f>
      </x:c>
      <x:c r="H545" s="44" t="str">
        <x:f>IF(D545="","",F545*G545)</x:f>
      </x:c>
      <x:c r="I545" s="44" t="str">
        <x:f>IF(D545="","",I544+H545)</x:f>
      </x:c>
      <x:c r="J545" s="46" t="str">
        <x:f>IF(D545="","",MIN(1,I545/Configuracion!$B$11))</x:f>
      </x:c>
      <x:c r="K545" s="48" t="str">
        <x:f>IF(D545="","",MAX(0,(Configuracion!$B$11-I545)/G545))</x:f>
      </x:c>
      <x:c r="L545" s="73" t="str">
        <x:f>IF(D545="","",C545+K545*60)</x:f>
      </x:c>
      <x:c r="M545" t="str">
        <x:f>IF(D545="","",IF(J545&gt;=Configuracion!$B$13,"DESLIZAR",IF(J545&gt;=Configuracion!$B$12,"PREPARARSE","NO DESLIZAR")))</x:f>
      </x:c>
      <x:c r="N545" s="41" t="str">
        <x:f>IF(D545="","",D545-$D$8)</x:f>
      </x:c>
      <x:c r="O545" s="46" t="str">
        <x:f>IF(D545="","",MAX(0,MIN(1,N545/Configuracion!$B$10)))</x:f>
      </x:c>
    </x:row>
    <x:row r="546">
      <x:c r="A546" s="34"/>
      <x:c r="B546" s="36"/>
      <x:c r="C546" s="72"/>
      <x:c r="D546" s="71"/>
      <x:c r="E546" s="41" t="str">
        <x:f>IF(D546="","",D546+273.15)</x:f>
      </x:c>
      <x:c r="F546" s="44" t="str">
        <x:f>IF(OR(C546="",D546="",C545=""),"",(C546-C545)/60)</x:f>
      </x:c>
      <x:c r="G546" s="44" t="str">
        <x:f>IF(D546="","",EXP(-Configuracion!$B$4/Configuracion!$B$5*(1/AVERAGE(E545:E546)-1/(Configuracion!$B$3+273.15))))</x:f>
      </x:c>
      <x:c r="H546" s="44" t="str">
        <x:f>IF(D546="","",F546*G546)</x:f>
      </x:c>
      <x:c r="I546" s="44" t="str">
        <x:f>IF(D546="","",I545+H546)</x:f>
      </x:c>
      <x:c r="J546" s="46" t="str">
        <x:f>IF(D546="","",MIN(1,I546/Configuracion!$B$11))</x:f>
      </x:c>
      <x:c r="K546" s="48" t="str">
        <x:f>IF(D546="","",MAX(0,(Configuracion!$B$11-I546)/G546))</x:f>
      </x:c>
      <x:c r="L546" s="73" t="str">
        <x:f>IF(D546="","",C546+K546*60)</x:f>
      </x:c>
      <x:c r="M546" t="str">
        <x:f>IF(D546="","",IF(J546&gt;=Configuracion!$B$13,"DESLIZAR",IF(J546&gt;=Configuracion!$B$12,"PREPARARSE","NO DESLIZAR")))</x:f>
      </x:c>
      <x:c r="N546" s="41" t="str">
        <x:f>IF(D546="","",D546-$D$8)</x:f>
      </x:c>
      <x:c r="O546" s="46" t="str">
        <x:f>IF(D546="","",MAX(0,MIN(1,N546/Configuracion!$B$10)))</x:f>
      </x:c>
    </x:row>
    <x:row r="547">
      <x:c r="A547" s="34"/>
      <x:c r="B547" s="36"/>
      <x:c r="C547" s="72"/>
      <x:c r="D547" s="71"/>
      <x:c r="E547" s="41" t="str">
        <x:f>IF(D547="","",D547+273.15)</x:f>
      </x:c>
      <x:c r="F547" s="44" t="str">
        <x:f>IF(OR(C547="",D547="",C546=""),"",(C547-C546)/60)</x:f>
      </x:c>
      <x:c r="G547" s="44" t="str">
        <x:f>IF(D547="","",EXP(-Configuracion!$B$4/Configuracion!$B$5*(1/AVERAGE(E546:E547)-1/(Configuracion!$B$3+273.15))))</x:f>
      </x:c>
      <x:c r="H547" s="44" t="str">
        <x:f>IF(D547="","",F547*G547)</x:f>
      </x:c>
      <x:c r="I547" s="44" t="str">
        <x:f>IF(D547="","",I546+H547)</x:f>
      </x:c>
      <x:c r="J547" s="46" t="str">
        <x:f>IF(D547="","",MIN(1,I547/Configuracion!$B$11))</x:f>
      </x:c>
      <x:c r="K547" s="48" t="str">
        <x:f>IF(D547="","",MAX(0,(Configuracion!$B$11-I547)/G547))</x:f>
      </x:c>
      <x:c r="L547" s="73" t="str">
        <x:f>IF(D547="","",C547+K547*60)</x:f>
      </x:c>
      <x:c r="M547" t="str">
        <x:f>IF(D547="","",IF(J547&gt;=Configuracion!$B$13,"DESLIZAR",IF(J547&gt;=Configuracion!$B$12,"PREPARARSE","NO DESLIZAR")))</x:f>
      </x:c>
      <x:c r="N547" s="41" t="str">
        <x:f>IF(D547="","",D547-$D$8)</x:f>
      </x:c>
      <x:c r="O547" s="46" t="str">
        <x:f>IF(D547="","",MAX(0,MIN(1,N547/Configuracion!$B$10)))</x:f>
      </x:c>
    </x:row>
    <x:row r="548">
      <x:c r="A548" s="34"/>
      <x:c r="B548" s="36"/>
      <x:c r="C548" s="72"/>
      <x:c r="D548" s="71"/>
      <x:c r="E548" s="41" t="str">
        <x:f>IF(D548="","",D548+273.15)</x:f>
      </x:c>
      <x:c r="F548" s="44" t="str">
        <x:f>IF(OR(C548="",D548="",C547=""),"",(C548-C547)/60)</x:f>
      </x:c>
      <x:c r="G548" s="44" t="str">
        <x:f>IF(D548="","",EXP(-Configuracion!$B$4/Configuracion!$B$5*(1/AVERAGE(E547:E548)-1/(Configuracion!$B$3+273.15))))</x:f>
      </x:c>
      <x:c r="H548" s="44" t="str">
        <x:f>IF(D548="","",F548*G548)</x:f>
      </x:c>
      <x:c r="I548" s="44" t="str">
        <x:f>IF(D548="","",I547+H548)</x:f>
      </x:c>
      <x:c r="J548" s="46" t="str">
        <x:f>IF(D548="","",MIN(1,I548/Configuracion!$B$11))</x:f>
      </x:c>
      <x:c r="K548" s="48" t="str">
        <x:f>IF(D548="","",MAX(0,(Configuracion!$B$11-I548)/G548))</x:f>
      </x:c>
      <x:c r="L548" s="73" t="str">
        <x:f>IF(D548="","",C548+K548*60)</x:f>
      </x:c>
      <x:c r="M548" t="str">
        <x:f>IF(D548="","",IF(J548&gt;=Configuracion!$B$13,"DESLIZAR",IF(J548&gt;=Configuracion!$B$12,"PREPARARSE","NO DESLIZAR")))</x:f>
      </x:c>
      <x:c r="N548" s="41" t="str">
        <x:f>IF(D548="","",D548-$D$8)</x:f>
      </x:c>
      <x:c r="O548" s="46" t="str">
        <x:f>IF(D548="","",MAX(0,MIN(1,N548/Configuracion!$B$10)))</x:f>
      </x:c>
    </x:row>
    <x:row r="549">
      <x:c r="A549" s="34"/>
      <x:c r="B549" s="36"/>
      <x:c r="C549" s="72"/>
      <x:c r="D549" s="71"/>
      <x:c r="E549" s="41" t="str">
        <x:f>IF(D549="","",D549+273.15)</x:f>
      </x:c>
      <x:c r="F549" s="44" t="str">
        <x:f>IF(OR(C549="",D549="",C548=""),"",(C549-C548)/60)</x:f>
      </x:c>
      <x:c r="G549" s="44" t="str">
        <x:f>IF(D549="","",EXP(-Configuracion!$B$4/Configuracion!$B$5*(1/AVERAGE(E548:E549)-1/(Configuracion!$B$3+273.15))))</x:f>
      </x:c>
      <x:c r="H549" s="44" t="str">
        <x:f>IF(D549="","",F549*G549)</x:f>
      </x:c>
      <x:c r="I549" s="44" t="str">
        <x:f>IF(D549="","",I548+H549)</x:f>
      </x:c>
      <x:c r="J549" s="46" t="str">
        <x:f>IF(D549="","",MIN(1,I549/Configuracion!$B$11))</x:f>
      </x:c>
      <x:c r="K549" s="48" t="str">
        <x:f>IF(D549="","",MAX(0,(Configuracion!$B$11-I549)/G549))</x:f>
      </x:c>
      <x:c r="L549" s="73" t="str">
        <x:f>IF(D549="","",C549+K549*60)</x:f>
      </x:c>
      <x:c r="M549" t="str">
        <x:f>IF(D549="","",IF(J549&gt;=Configuracion!$B$13,"DESLIZAR",IF(J549&gt;=Configuracion!$B$12,"PREPARARSE","NO DESLIZAR")))</x:f>
      </x:c>
      <x:c r="N549" s="41" t="str">
        <x:f>IF(D549="","",D549-$D$8)</x:f>
      </x:c>
      <x:c r="O549" s="46" t="str">
        <x:f>IF(D549="","",MAX(0,MIN(1,N549/Configuracion!$B$10)))</x:f>
      </x:c>
    </x:row>
    <x:row r="550">
      <x:c r="A550" s="34"/>
      <x:c r="B550" s="36"/>
      <x:c r="C550" s="72"/>
      <x:c r="D550" s="71"/>
      <x:c r="E550" s="41" t="str">
        <x:f>IF(D550="","",D550+273.15)</x:f>
      </x:c>
      <x:c r="F550" s="44" t="str">
        <x:f>IF(OR(C550="",D550="",C549=""),"",(C550-C549)/60)</x:f>
      </x:c>
      <x:c r="G550" s="44" t="str">
        <x:f>IF(D550="","",EXP(-Configuracion!$B$4/Configuracion!$B$5*(1/AVERAGE(E549:E550)-1/(Configuracion!$B$3+273.15))))</x:f>
      </x:c>
      <x:c r="H550" s="44" t="str">
        <x:f>IF(D550="","",F550*G550)</x:f>
      </x:c>
      <x:c r="I550" s="44" t="str">
        <x:f>IF(D550="","",I549+H550)</x:f>
      </x:c>
      <x:c r="J550" s="46" t="str">
        <x:f>IF(D550="","",MIN(1,I550/Configuracion!$B$11))</x:f>
      </x:c>
      <x:c r="K550" s="48" t="str">
        <x:f>IF(D550="","",MAX(0,(Configuracion!$B$11-I550)/G550))</x:f>
      </x:c>
      <x:c r="L550" s="73" t="str">
        <x:f>IF(D550="","",C550+K550*60)</x:f>
      </x:c>
      <x:c r="M550" t="str">
        <x:f>IF(D550="","",IF(J550&gt;=Configuracion!$B$13,"DESLIZAR",IF(J550&gt;=Configuracion!$B$12,"PREPARARSE","NO DESLIZAR")))</x:f>
      </x:c>
      <x:c r="N550" s="41" t="str">
        <x:f>IF(D550="","",D550-$D$8)</x:f>
      </x:c>
      <x:c r="O550" s="46" t="str">
        <x:f>IF(D550="","",MAX(0,MIN(1,N550/Configuracion!$B$10)))</x:f>
      </x:c>
    </x:row>
    <x:row r="551">
      <x:c r="A551" s="34"/>
      <x:c r="B551" s="36"/>
      <x:c r="C551" s="72"/>
      <x:c r="D551" s="71"/>
      <x:c r="E551" s="41" t="str">
        <x:f>IF(D551="","",D551+273.15)</x:f>
      </x:c>
      <x:c r="F551" s="44" t="str">
        <x:f>IF(OR(C551="",D551="",C550=""),"",(C551-C550)/60)</x:f>
      </x:c>
      <x:c r="G551" s="44" t="str">
        <x:f>IF(D551="","",EXP(-Configuracion!$B$4/Configuracion!$B$5*(1/AVERAGE(E550:E551)-1/(Configuracion!$B$3+273.15))))</x:f>
      </x:c>
      <x:c r="H551" s="44" t="str">
        <x:f>IF(D551="","",F551*G551)</x:f>
      </x:c>
      <x:c r="I551" s="44" t="str">
        <x:f>IF(D551="","",I550+H551)</x:f>
      </x:c>
      <x:c r="J551" s="46" t="str">
        <x:f>IF(D551="","",MIN(1,I551/Configuracion!$B$11))</x:f>
      </x:c>
      <x:c r="K551" s="48" t="str">
        <x:f>IF(D551="","",MAX(0,(Configuracion!$B$11-I551)/G551))</x:f>
      </x:c>
      <x:c r="L551" s="73" t="str">
        <x:f>IF(D551="","",C551+K551*60)</x:f>
      </x:c>
      <x:c r="M551" t="str">
        <x:f>IF(D551="","",IF(J551&gt;=Configuracion!$B$13,"DESLIZAR",IF(J551&gt;=Configuracion!$B$12,"PREPARARSE","NO DESLIZAR")))</x:f>
      </x:c>
      <x:c r="N551" s="41" t="str">
        <x:f>IF(D551="","",D551-$D$8)</x:f>
      </x:c>
      <x:c r="O551" s="46" t="str">
        <x:f>IF(D551="","",MAX(0,MIN(1,N551/Configuracion!$B$10)))</x:f>
      </x:c>
    </x:row>
    <x:row r="552">
      <x:c r="A552" s="34"/>
      <x:c r="B552" s="36"/>
      <x:c r="C552" s="72"/>
      <x:c r="D552" s="71"/>
      <x:c r="E552" s="41" t="str">
        <x:f>IF(D552="","",D552+273.15)</x:f>
      </x:c>
      <x:c r="F552" s="44" t="str">
        <x:f>IF(OR(C552="",D552="",C551=""),"",(C552-C551)/60)</x:f>
      </x:c>
      <x:c r="G552" s="44" t="str">
        <x:f>IF(D552="","",EXP(-Configuracion!$B$4/Configuracion!$B$5*(1/AVERAGE(E551:E552)-1/(Configuracion!$B$3+273.15))))</x:f>
      </x:c>
      <x:c r="H552" s="44" t="str">
        <x:f>IF(D552="","",F552*G552)</x:f>
      </x:c>
      <x:c r="I552" s="44" t="str">
        <x:f>IF(D552="","",I551+H552)</x:f>
      </x:c>
      <x:c r="J552" s="46" t="str">
        <x:f>IF(D552="","",MIN(1,I552/Configuracion!$B$11))</x:f>
      </x:c>
      <x:c r="K552" s="48" t="str">
        <x:f>IF(D552="","",MAX(0,(Configuracion!$B$11-I552)/G552))</x:f>
      </x:c>
      <x:c r="L552" s="73" t="str">
        <x:f>IF(D552="","",C552+K552*60)</x:f>
      </x:c>
      <x:c r="M552" t="str">
        <x:f>IF(D552="","",IF(J552&gt;=Configuracion!$B$13,"DESLIZAR",IF(J552&gt;=Configuracion!$B$12,"PREPARARSE","NO DESLIZAR")))</x:f>
      </x:c>
      <x:c r="N552" s="41" t="str">
        <x:f>IF(D552="","",D552-$D$8)</x:f>
      </x:c>
      <x:c r="O552" s="46" t="str">
        <x:f>IF(D552="","",MAX(0,MIN(1,N552/Configuracion!$B$10)))</x:f>
      </x:c>
    </x:row>
    <x:row r="553">
      <x:c r="A553" s="34"/>
      <x:c r="B553" s="36"/>
      <x:c r="C553" s="72"/>
      <x:c r="D553" s="71"/>
      <x:c r="E553" s="41" t="str">
        <x:f>IF(D553="","",D553+273.15)</x:f>
      </x:c>
      <x:c r="F553" s="44" t="str">
        <x:f>IF(OR(C553="",D553="",C552=""),"",(C553-C552)/60)</x:f>
      </x:c>
      <x:c r="G553" s="44" t="str">
        <x:f>IF(D553="","",EXP(-Configuracion!$B$4/Configuracion!$B$5*(1/AVERAGE(E552:E553)-1/(Configuracion!$B$3+273.15))))</x:f>
      </x:c>
      <x:c r="H553" s="44" t="str">
        <x:f>IF(D553="","",F553*G553)</x:f>
      </x:c>
      <x:c r="I553" s="44" t="str">
        <x:f>IF(D553="","",I552+H553)</x:f>
      </x:c>
      <x:c r="J553" s="46" t="str">
        <x:f>IF(D553="","",MIN(1,I553/Configuracion!$B$11))</x:f>
      </x:c>
      <x:c r="K553" s="48" t="str">
        <x:f>IF(D553="","",MAX(0,(Configuracion!$B$11-I553)/G553))</x:f>
      </x:c>
      <x:c r="L553" s="73" t="str">
        <x:f>IF(D553="","",C553+K553*60)</x:f>
      </x:c>
      <x:c r="M553" t="str">
        <x:f>IF(D553="","",IF(J553&gt;=Configuracion!$B$13,"DESLIZAR",IF(J553&gt;=Configuracion!$B$12,"PREPARARSE","NO DESLIZAR")))</x:f>
      </x:c>
      <x:c r="N553" s="41" t="str">
        <x:f>IF(D553="","",D553-$D$8)</x:f>
      </x:c>
      <x:c r="O553" s="46" t="str">
        <x:f>IF(D553="","",MAX(0,MIN(1,N553/Configuracion!$B$10)))</x:f>
      </x:c>
    </x:row>
    <x:row r="554">
      <x:c r="A554" s="34"/>
      <x:c r="B554" s="36"/>
      <x:c r="C554" s="72"/>
      <x:c r="D554" s="71"/>
      <x:c r="E554" s="41" t="str">
        <x:f>IF(D554="","",D554+273.15)</x:f>
      </x:c>
      <x:c r="F554" s="44" t="str">
        <x:f>IF(OR(C554="",D554="",C553=""),"",(C554-C553)/60)</x:f>
      </x:c>
      <x:c r="G554" s="44" t="str">
        <x:f>IF(D554="","",EXP(-Configuracion!$B$4/Configuracion!$B$5*(1/AVERAGE(E553:E554)-1/(Configuracion!$B$3+273.15))))</x:f>
      </x:c>
      <x:c r="H554" s="44" t="str">
        <x:f>IF(D554="","",F554*G554)</x:f>
      </x:c>
      <x:c r="I554" s="44" t="str">
        <x:f>IF(D554="","",I553+H554)</x:f>
      </x:c>
      <x:c r="J554" s="46" t="str">
        <x:f>IF(D554="","",MIN(1,I554/Configuracion!$B$11))</x:f>
      </x:c>
      <x:c r="K554" s="48" t="str">
        <x:f>IF(D554="","",MAX(0,(Configuracion!$B$11-I554)/G554))</x:f>
      </x:c>
      <x:c r="L554" s="73" t="str">
        <x:f>IF(D554="","",C554+K554*60)</x:f>
      </x:c>
      <x:c r="M554" t="str">
        <x:f>IF(D554="","",IF(J554&gt;=Configuracion!$B$13,"DESLIZAR",IF(J554&gt;=Configuracion!$B$12,"PREPARARSE","NO DESLIZAR")))</x:f>
      </x:c>
      <x:c r="N554" s="41" t="str">
        <x:f>IF(D554="","",D554-$D$8)</x:f>
      </x:c>
      <x:c r="O554" s="46" t="str">
        <x:f>IF(D554="","",MAX(0,MIN(1,N554/Configuracion!$B$10)))</x:f>
      </x:c>
    </x:row>
    <x:row r="555">
      <x:c r="A555" s="34"/>
      <x:c r="B555" s="36"/>
      <x:c r="C555" s="72"/>
      <x:c r="D555" s="71"/>
      <x:c r="E555" s="41" t="str">
        <x:f>IF(D555="","",D555+273.15)</x:f>
      </x:c>
      <x:c r="F555" s="44" t="str">
        <x:f>IF(OR(C555="",D555="",C554=""),"",(C555-C554)/60)</x:f>
      </x:c>
      <x:c r="G555" s="44" t="str">
        <x:f>IF(D555="","",EXP(-Configuracion!$B$4/Configuracion!$B$5*(1/AVERAGE(E554:E555)-1/(Configuracion!$B$3+273.15))))</x:f>
      </x:c>
      <x:c r="H555" s="44" t="str">
        <x:f>IF(D555="","",F555*G555)</x:f>
      </x:c>
      <x:c r="I555" s="44" t="str">
        <x:f>IF(D555="","",I554+H555)</x:f>
      </x:c>
      <x:c r="J555" s="46" t="str">
        <x:f>IF(D555="","",MIN(1,I555/Configuracion!$B$11))</x:f>
      </x:c>
      <x:c r="K555" s="48" t="str">
        <x:f>IF(D555="","",MAX(0,(Configuracion!$B$11-I555)/G555))</x:f>
      </x:c>
      <x:c r="L555" s="73" t="str">
        <x:f>IF(D555="","",C555+K555*60)</x:f>
      </x:c>
      <x:c r="M555" t="str">
        <x:f>IF(D555="","",IF(J555&gt;=Configuracion!$B$13,"DESLIZAR",IF(J555&gt;=Configuracion!$B$12,"PREPARARSE","NO DESLIZAR")))</x:f>
      </x:c>
      <x:c r="N555" s="41" t="str">
        <x:f>IF(D555="","",D555-$D$8)</x:f>
      </x:c>
      <x:c r="O555" s="46" t="str">
        <x:f>IF(D555="","",MAX(0,MIN(1,N555/Configuracion!$B$10)))</x:f>
      </x:c>
    </x:row>
    <x:row r="556">
      <x:c r="A556" s="34"/>
      <x:c r="B556" s="36"/>
      <x:c r="C556" s="72"/>
      <x:c r="D556" s="71"/>
      <x:c r="E556" s="41" t="str">
        <x:f>IF(D556="","",D556+273.15)</x:f>
      </x:c>
      <x:c r="F556" s="44" t="str">
        <x:f>IF(OR(C556="",D556="",C555=""),"",(C556-C555)/60)</x:f>
      </x:c>
      <x:c r="G556" s="44" t="str">
        <x:f>IF(D556="","",EXP(-Configuracion!$B$4/Configuracion!$B$5*(1/AVERAGE(E555:E556)-1/(Configuracion!$B$3+273.15))))</x:f>
      </x:c>
      <x:c r="H556" s="44" t="str">
        <x:f>IF(D556="","",F556*G556)</x:f>
      </x:c>
      <x:c r="I556" s="44" t="str">
        <x:f>IF(D556="","",I555+H556)</x:f>
      </x:c>
      <x:c r="J556" s="46" t="str">
        <x:f>IF(D556="","",MIN(1,I556/Configuracion!$B$11))</x:f>
      </x:c>
      <x:c r="K556" s="48" t="str">
        <x:f>IF(D556="","",MAX(0,(Configuracion!$B$11-I556)/G556))</x:f>
      </x:c>
      <x:c r="L556" s="73" t="str">
        <x:f>IF(D556="","",C556+K556*60)</x:f>
      </x:c>
      <x:c r="M556" t="str">
        <x:f>IF(D556="","",IF(J556&gt;=Configuracion!$B$13,"DESLIZAR",IF(J556&gt;=Configuracion!$B$12,"PREPARARSE","NO DESLIZAR")))</x:f>
      </x:c>
      <x:c r="N556" s="41" t="str">
        <x:f>IF(D556="","",D556-$D$8)</x:f>
      </x:c>
      <x:c r="O556" s="46" t="str">
        <x:f>IF(D556="","",MAX(0,MIN(1,N556/Configuracion!$B$10)))</x:f>
      </x:c>
    </x:row>
    <x:row r="557">
      <x:c r="A557" s="34"/>
      <x:c r="B557" s="36"/>
      <x:c r="C557" s="72"/>
      <x:c r="D557" s="71"/>
      <x:c r="E557" s="41" t="str">
        <x:f>IF(D557="","",D557+273.15)</x:f>
      </x:c>
      <x:c r="F557" s="44" t="str">
        <x:f>IF(OR(C557="",D557="",C556=""),"",(C557-C556)/60)</x:f>
      </x:c>
      <x:c r="G557" s="44" t="str">
        <x:f>IF(D557="","",EXP(-Configuracion!$B$4/Configuracion!$B$5*(1/AVERAGE(E556:E557)-1/(Configuracion!$B$3+273.15))))</x:f>
      </x:c>
      <x:c r="H557" s="44" t="str">
        <x:f>IF(D557="","",F557*G557)</x:f>
      </x:c>
      <x:c r="I557" s="44" t="str">
        <x:f>IF(D557="","",I556+H557)</x:f>
      </x:c>
      <x:c r="J557" s="46" t="str">
        <x:f>IF(D557="","",MIN(1,I557/Configuracion!$B$11))</x:f>
      </x:c>
      <x:c r="K557" s="48" t="str">
        <x:f>IF(D557="","",MAX(0,(Configuracion!$B$11-I557)/G557))</x:f>
      </x:c>
      <x:c r="L557" s="73" t="str">
        <x:f>IF(D557="","",C557+K557*60)</x:f>
      </x:c>
      <x:c r="M557" t="str">
        <x:f>IF(D557="","",IF(J557&gt;=Configuracion!$B$13,"DESLIZAR",IF(J557&gt;=Configuracion!$B$12,"PREPARARSE","NO DESLIZAR")))</x:f>
      </x:c>
      <x:c r="N557" s="41" t="str">
        <x:f>IF(D557="","",D557-$D$8)</x:f>
      </x:c>
      <x:c r="O557" s="46" t="str">
        <x:f>IF(D557="","",MAX(0,MIN(1,N557/Configuracion!$B$10)))</x:f>
      </x:c>
    </x:row>
    <x:row r="558">
      <x:c r="A558" s="34"/>
      <x:c r="B558" s="36"/>
      <x:c r="C558" s="72"/>
      <x:c r="D558" s="71"/>
      <x:c r="E558" s="41" t="str">
        <x:f>IF(D558="","",D558+273.15)</x:f>
      </x:c>
      <x:c r="F558" s="44" t="str">
        <x:f>IF(OR(C558="",D558="",C557=""),"",(C558-C557)/60)</x:f>
      </x:c>
      <x:c r="G558" s="44" t="str">
        <x:f>IF(D558="","",EXP(-Configuracion!$B$4/Configuracion!$B$5*(1/AVERAGE(E557:E558)-1/(Configuracion!$B$3+273.15))))</x:f>
      </x:c>
      <x:c r="H558" s="44" t="str">
        <x:f>IF(D558="","",F558*G558)</x:f>
      </x:c>
      <x:c r="I558" s="44" t="str">
        <x:f>IF(D558="","",I557+H558)</x:f>
      </x:c>
      <x:c r="J558" s="46" t="str">
        <x:f>IF(D558="","",MIN(1,I558/Configuracion!$B$11))</x:f>
      </x:c>
      <x:c r="K558" s="48" t="str">
        <x:f>IF(D558="","",MAX(0,(Configuracion!$B$11-I558)/G558))</x:f>
      </x:c>
      <x:c r="L558" s="73" t="str">
        <x:f>IF(D558="","",C558+K558*60)</x:f>
      </x:c>
      <x:c r="M558" t="str">
        <x:f>IF(D558="","",IF(J558&gt;=Configuracion!$B$13,"DESLIZAR",IF(J558&gt;=Configuracion!$B$12,"PREPARARSE","NO DESLIZAR")))</x:f>
      </x:c>
      <x:c r="N558" s="41" t="str">
        <x:f>IF(D558="","",D558-$D$8)</x:f>
      </x:c>
      <x:c r="O558" s="46" t="str">
        <x:f>IF(D558="","",MAX(0,MIN(1,N558/Configuracion!$B$10)))</x:f>
      </x:c>
    </x:row>
    <x:row r="559">
      <x:c r="A559" s="34"/>
      <x:c r="B559" s="36"/>
      <x:c r="C559" s="72"/>
      <x:c r="D559" s="71"/>
      <x:c r="E559" s="41" t="str">
        <x:f>IF(D559="","",D559+273.15)</x:f>
      </x:c>
      <x:c r="F559" s="44" t="str">
        <x:f>IF(OR(C559="",D559="",C558=""),"",(C559-C558)/60)</x:f>
      </x:c>
      <x:c r="G559" s="44" t="str">
        <x:f>IF(D559="","",EXP(-Configuracion!$B$4/Configuracion!$B$5*(1/AVERAGE(E558:E559)-1/(Configuracion!$B$3+273.15))))</x:f>
      </x:c>
      <x:c r="H559" s="44" t="str">
        <x:f>IF(D559="","",F559*G559)</x:f>
      </x:c>
      <x:c r="I559" s="44" t="str">
        <x:f>IF(D559="","",I558+H559)</x:f>
      </x:c>
      <x:c r="J559" s="46" t="str">
        <x:f>IF(D559="","",MIN(1,I559/Configuracion!$B$11))</x:f>
      </x:c>
      <x:c r="K559" s="48" t="str">
        <x:f>IF(D559="","",MAX(0,(Configuracion!$B$11-I559)/G559))</x:f>
      </x:c>
      <x:c r="L559" s="73" t="str">
        <x:f>IF(D559="","",C559+K559*60)</x:f>
      </x:c>
      <x:c r="M559" t="str">
        <x:f>IF(D559="","",IF(J559&gt;=Configuracion!$B$13,"DESLIZAR",IF(J559&gt;=Configuracion!$B$12,"PREPARARSE","NO DESLIZAR")))</x:f>
      </x:c>
      <x:c r="N559" s="41" t="str">
        <x:f>IF(D559="","",D559-$D$8)</x:f>
      </x:c>
      <x:c r="O559" s="46" t="str">
        <x:f>IF(D559="","",MAX(0,MIN(1,N559/Configuracion!$B$10)))</x:f>
      </x:c>
    </x:row>
    <x:row r="560">
      <x:c r="A560" s="34"/>
      <x:c r="B560" s="36"/>
      <x:c r="C560" s="72"/>
      <x:c r="D560" s="71"/>
      <x:c r="E560" s="41" t="str">
        <x:f>IF(D560="","",D560+273.15)</x:f>
      </x:c>
      <x:c r="F560" s="44" t="str">
        <x:f>IF(OR(C560="",D560="",C559=""),"",(C560-C559)/60)</x:f>
      </x:c>
      <x:c r="G560" s="44" t="str">
        <x:f>IF(D560="","",EXP(-Configuracion!$B$4/Configuracion!$B$5*(1/AVERAGE(E559:E560)-1/(Configuracion!$B$3+273.15))))</x:f>
      </x:c>
      <x:c r="H560" s="44" t="str">
        <x:f>IF(D560="","",F560*G560)</x:f>
      </x:c>
      <x:c r="I560" s="44" t="str">
        <x:f>IF(D560="","",I559+H560)</x:f>
      </x:c>
      <x:c r="J560" s="46" t="str">
        <x:f>IF(D560="","",MIN(1,I560/Configuracion!$B$11))</x:f>
      </x:c>
      <x:c r="K560" s="48" t="str">
        <x:f>IF(D560="","",MAX(0,(Configuracion!$B$11-I560)/G560))</x:f>
      </x:c>
      <x:c r="L560" s="73" t="str">
        <x:f>IF(D560="","",C560+K560*60)</x:f>
      </x:c>
      <x:c r="M560" t="str">
        <x:f>IF(D560="","",IF(J560&gt;=Configuracion!$B$13,"DESLIZAR",IF(J560&gt;=Configuracion!$B$12,"PREPARARSE","NO DESLIZAR")))</x:f>
      </x:c>
      <x:c r="N560" s="41" t="str">
        <x:f>IF(D560="","",D560-$D$8)</x:f>
      </x:c>
      <x:c r="O560" s="46" t="str">
        <x:f>IF(D560="","",MAX(0,MIN(1,N560/Configuracion!$B$10)))</x:f>
      </x:c>
    </x:row>
    <x:row r="561">
      <x:c r="A561" s="34"/>
      <x:c r="B561" s="36"/>
      <x:c r="C561" s="72"/>
      <x:c r="D561" s="71"/>
      <x:c r="E561" s="41" t="str">
        <x:f>IF(D561="","",D561+273.15)</x:f>
      </x:c>
      <x:c r="F561" s="44" t="str">
        <x:f>IF(OR(C561="",D561="",C560=""),"",(C561-C560)/60)</x:f>
      </x:c>
      <x:c r="G561" s="44" t="str">
        <x:f>IF(D561="","",EXP(-Configuracion!$B$4/Configuracion!$B$5*(1/AVERAGE(E560:E561)-1/(Configuracion!$B$3+273.15))))</x:f>
      </x:c>
      <x:c r="H561" s="44" t="str">
        <x:f>IF(D561="","",F561*G561)</x:f>
      </x:c>
      <x:c r="I561" s="44" t="str">
        <x:f>IF(D561="","",I560+H561)</x:f>
      </x:c>
      <x:c r="J561" s="46" t="str">
        <x:f>IF(D561="","",MIN(1,I561/Configuracion!$B$11))</x:f>
      </x:c>
      <x:c r="K561" s="48" t="str">
        <x:f>IF(D561="","",MAX(0,(Configuracion!$B$11-I561)/G561))</x:f>
      </x:c>
      <x:c r="L561" s="73" t="str">
        <x:f>IF(D561="","",C561+K561*60)</x:f>
      </x:c>
      <x:c r="M561" t="str">
        <x:f>IF(D561="","",IF(J561&gt;=Configuracion!$B$13,"DESLIZAR",IF(J561&gt;=Configuracion!$B$12,"PREPARARSE","NO DESLIZAR")))</x:f>
      </x:c>
      <x:c r="N561" s="41" t="str">
        <x:f>IF(D561="","",D561-$D$8)</x:f>
      </x:c>
      <x:c r="O561" s="46" t="str">
        <x:f>IF(D561="","",MAX(0,MIN(1,N561/Configuracion!$B$10)))</x:f>
      </x:c>
    </x:row>
    <x:row r="562">
      <x:c r="A562" s="34"/>
      <x:c r="B562" s="36"/>
      <x:c r="C562" s="72"/>
      <x:c r="D562" s="71"/>
      <x:c r="E562" s="41" t="str">
        <x:f>IF(D562="","",D562+273.15)</x:f>
      </x:c>
      <x:c r="F562" s="44" t="str">
        <x:f>IF(OR(C562="",D562="",C561=""),"",(C562-C561)/60)</x:f>
      </x:c>
      <x:c r="G562" s="44" t="str">
        <x:f>IF(D562="","",EXP(-Configuracion!$B$4/Configuracion!$B$5*(1/AVERAGE(E561:E562)-1/(Configuracion!$B$3+273.15))))</x:f>
      </x:c>
      <x:c r="H562" s="44" t="str">
        <x:f>IF(D562="","",F562*G562)</x:f>
      </x:c>
      <x:c r="I562" s="44" t="str">
        <x:f>IF(D562="","",I561+H562)</x:f>
      </x:c>
      <x:c r="J562" s="46" t="str">
        <x:f>IF(D562="","",MIN(1,I562/Configuracion!$B$11))</x:f>
      </x:c>
      <x:c r="K562" s="48" t="str">
        <x:f>IF(D562="","",MAX(0,(Configuracion!$B$11-I562)/G562))</x:f>
      </x:c>
      <x:c r="L562" s="73" t="str">
        <x:f>IF(D562="","",C562+K562*60)</x:f>
      </x:c>
      <x:c r="M562" t="str">
        <x:f>IF(D562="","",IF(J562&gt;=Configuracion!$B$13,"DESLIZAR",IF(J562&gt;=Configuracion!$B$12,"PREPARARSE","NO DESLIZAR")))</x:f>
      </x:c>
      <x:c r="N562" s="41" t="str">
        <x:f>IF(D562="","",D562-$D$8)</x:f>
      </x:c>
      <x:c r="O562" s="46" t="str">
        <x:f>IF(D562="","",MAX(0,MIN(1,N562/Configuracion!$B$10)))</x:f>
      </x:c>
    </x:row>
    <x:row r="563">
      <x:c r="A563" s="34"/>
      <x:c r="B563" s="36"/>
      <x:c r="C563" s="72"/>
      <x:c r="D563" s="71"/>
      <x:c r="E563" s="41" t="str">
        <x:f>IF(D563="","",D563+273.15)</x:f>
      </x:c>
      <x:c r="F563" s="44" t="str">
        <x:f>IF(OR(C563="",D563="",C562=""),"",(C563-C562)/60)</x:f>
      </x:c>
      <x:c r="G563" s="44" t="str">
        <x:f>IF(D563="","",EXP(-Configuracion!$B$4/Configuracion!$B$5*(1/AVERAGE(E562:E563)-1/(Configuracion!$B$3+273.15))))</x:f>
      </x:c>
      <x:c r="H563" s="44" t="str">
        <x:f>IF(D563="","",F563*G563)</x:f>
      </x:c>
      <x:c r="I563" s="44" t="str">
        <x:f>IF(D563="","",I562+H563)</x:f>
      </x:c>
      <x:c r="J563" s="46" t="str">
        <x:f>IF(D563="","",MIN(1,I563/Configuracion!$B$11))</x:f>
      </x:c>
      <x:c r="K563" s="48" t="str">
        <x:f>IF(D563="","",MAX(0,(Configuracion!$B$11-I563)/G563))</x:f>
      </x:c>
      <x:c r="L563" s="73" t="str">
        <x:f>IF(D563="","",C563+K563*60)</x:f>
      </x:c>
      <x:c r="M563" t="str">
        <x:f>IF(D563="","",IF(J563&gt;=Configuracion!$B$13,"DESLIZAR",IF(J563&gt;=Configuracion!$B$12,"PREPARARSE","NO DESLIZAR")))</x:f>
      </x:c>
      <x:c r="N563" s="41" t="str">
        <x:f>IF(D563="","",D563-$D$8)</x:f>
      </x:c>
      <x:c r="O563" s="46" t="str">
        <x:f>IF(D563="","",MAX(0,MIN(1,N563/Configuracion!$B$10)))</x:f>
      </x:c>
    </x:row>
    <x:row r="564">
      <x:c r="A564" s="34"/>
      <x:c r="B564" s="36"/>
      <x:c r="C564" s="72"/>
      <x:c r="D564" s="71"/>
      <x:c r="E564" s="41" t="str">
        <x:f>IF(D564="","",D564+273.15)</x:f>
      </x:c>
      <x:c r="F564" s="44" t="str">
        <x:f>IF(OR(C564="",D564="",C563=""),"",(C564-C563)/60)</x:f>
      </x:c>
      <x:c r="G564" s="44" t="str">
        <x:f>IF(D564="","",EXP(-Configuracion!$B$4/Configuracion!$B$5*(1/AVERAGE(E563:E564)-1/(Configuracion!$B$3+273.15))))</x:f>
      </x:c>
      <x:c r="H564" s="44" t="str">
        <x:f>IF(D564="","",F564*G564)</x:f>
      </x:c>
      <x:c r="I564" s="44" t="str">
        <x:f>IF(D564="","",I563+H564)</x:f>
      </x:c>
      <x:c r="J564" s="46" t="str">
        <x:f>IF(D564="","",MIN(1,I564/Configuracion!$B$11))</x:f>
      </x:c>
      <x:c r="K564" s="48" t="str">
        <x:f>IF(D564="","",MAX(0,(Configuracion!$B$11-I564)/G564))</x:f>
      </x:c>
      <x:c r="L564" s="73" t="str">
        <x:f>IF(D564="","",C564+K564*60)</x:f>
      </x:c>
      <x:c r="M564" t="str">
        <x:f>IF(D564="","",IF(J564&gt;=Configuracion!$B$13,"DESLIZAR",IF(J564&gt;=Configuracion!$B$12,"PREPARARSE","NO DESLIZAR")))</x:f>
      </x:c>
      <x:c r="N564" s="41" t="str">
        <x:f>IF(D564="","",D564-$D$8)</x:f>
      </x:c>
      <x:c r="O564" s="46" t="str">
        <x:f>IF(D564="","",MAX(0,MIN(1,N564/Configuracion!$B$10)))</x:f>
      </x:c>
    </x:row>
    <x:row r="565">
      <x:c r="A565" s="34"/>
      <x:c r="B565" s="36"/>
      <x:c r="C565" s="72"/>
      <x:c r="D565" s="71"/>
      <x:c r="E565" s="41" t="str">
        <x:f>IF(D565="","",D565+273.15)</x:f>
      </x:c>
      <x:c r="F565" s="44" t="str">
        <x:f>IF(OR(C565="",D565="",C564=""),"",(C565-C564)/60)</x:f>
      </x:c>
      <x:c r="G565" s="44" t="str">
        <x:f>IF(D565="","",EXP(-Configuracion!$B$4/Configuracion!$B$5*(1/AVERAGE(E564:E565)-1/(Configuracion!$B$3+273.15))))</x:f>
      </x:c>
      <x:c r="H565" s="44" t="str">
        <x:f>IF(D565="","",F565*G565)</x:f>
      </x:c>
      <x:c r="I565" s="44" t="str">
        <x:f>IF(D565="","",I564+H565)</x:f>
      </x:c>
      <x:c r="J565" s="46" t="str">
        <x:f>IF(D565="","",MIN(1,I565/Configuracion!$B$11))</x:f>
      </x:c>
      <x:c r="K565" s="48" t="str">
        <x:f>IF(D565="","",MAX(0,(Configuracion!$B$11-I565)/G565))</x:f>
      </x:c>
      <x:c r="L565" s="73" t="str">
        <x:f>IF(D565="","",C565+K565*60)</x:f>
      </x:c>
      <x:c r="M565" t="str">
        <x:f>IF(D565="","",IF(J565&gt;=Configuracion!$B$13,"DESLIZAR",IF(J565&gt;=Configuracion!$B$12,"PREPARARSE","NO DESLIZAR")))</x:f>
      </x:c>
      <x:c r="N565" s="41" t="str">
        <x:f>IF(D565="","",D565-$D$8)</x:f>
      </x:c>
      <x:c r="O565" s="46" t="str">
        <x:f>IF(D565="","",MAX(0,MIN(1,N565/Configuracion!$B$10)))</x:f>
      </x:c>
    </x:row>
    <x:row r="566">
      <x:c r="A566" s="34"/>
      <x:c r="B566" s="36"/>
      <x:c r="C566" s="72"/>
      <x:c r="D566" s="71"/>
      <x:c r="E566" s="41" t="str">
        <x:f>IF(D566="","",D566+273.15)</x:f>
      </x:c>
      <x:c r="F566" s="44" t="str">
        <x:f>IF(OR(C566="",D566="",C565=""),"",(C566-C565)/60)</x:f>
      </x:c>
      <x:c r="G566" s="44" t="str">
        <x:f>IF(D566="","",EXP(-Configuracion!$B$4/Configuracion!$B$5*(1/AVERAGE(E565:E566)-1/(Configuracion!$B$3+273.15))))</x:f>
      </x:c>
      <x:c r="H566" s="44" t="str">
        <x:f>IF(D566="","",F566*G566)</x:f>
      </x:c>
      <x:c r="I566" s="44" t="str">
        <x:f>IF(D566="","",I565+H566)</x:f>
      </x:c>
      <x:c r="J566" s="46" t="str">
        <x:f>IF(D566="","",MIN(1,I566/Configuracion!$B$11))</x:f>
      </x:c>
      <x:c r="K566" s="48" t="str">
        <x:f>IF(D566="","",MAX(0,(Configuracion!$B$11-I566)/G566))</x:f>
      </x:c>
      <x:c r="L566" s="73" t="str">
        <x:f>IF(D566="","",C566+K566*60)</x:f>
      </x:c>
      <x:c r="M566" t="str">
        <x:f>IF(D566="","",IF(J566&gt;=Configuracion!$B$13,"DESLIZAR",IF(J566&gt;=Configuracion!$B$12,"PREPARARSE","NO DESLIZAR")))</x:f>
      </x:c>
      <x:c r="N566" s="41" t="str">
        <x:f>IF(D566="","",D566-$D$8)</x:f>
      </x:c>
      <x:c r="O566" s="46" t="str">
        <x:f>IF(D566="","",MAX(0,MIN(1,N566/Configuracion!$B$10)))</x:f>
      </x:c>
    </x:row>
    <x:row r="567">
      <x:c r="A567" s="34"/>
      <x:c r="B567" s="36"/>
      <x:c r="C567" s="72"/>
      <x:c r="D567" s="71"/>
      <x:c r="E567" s="41" t="str">
        <x:f>IF(D567="","",D567+273.15)</x:f>
      </x:c>
      <x:c r="F567" s="44" t="str">
        <x:f>IF(OR(C567="",D567="",C566=""),"",(C567-C566)/60)</x:f>
      </x:c>
      <x:c r="G567" s="44" t="str">
        <x:f>IF(D567="","",EXP(-Configuracion!$B$4/Configuracion!$B$5*(1/AVERAGE(E566:E567)-1/(Configuracion!$B$3+273.15))))</x:f>
      </x:c>
      <x:c r="H567" s="44" t="str">
        <x:f>IF(D567="","",F567*G567)</x:f>
      </x:c>
      <x:c r="I567" s="44" t="str">
        <x:f>IF(D567="","",I566+H567)</x:f>
      </x:c>
      <x:c r="J567" s="46" t="str">
        <x:f>IF(D567="","",MIN(1,I567/Configuracion!$B$11))</x:f>
      </x:c>
      <x:c r="K567" s="48" t="str">
        <x:f>IF(D567="","",MAX(0,(Configuracion!$B$11-I567)/G567))</x:f>
      </x:c>
      <x:c r="L567" s="73" t="str">
        <x:f>IF(D567="","",C567+K567*60)</x:f>
      </x:c>
      <x:c r="M567" t="str">
        <x:f>IF(D567="","",IF(J567&gt;=Configuracion!$B$13,"DESLIZAR",IF(J567&gt;=Configuracion!$B$12,"PREPARARSE","NO DESLIZAR")))</x:f>
      </x:c>
      <x:c r="N567" s="41" t="str">
        <x:f>IF(D567="","",D567-$D$8)</x:f>
      </x:c>
      <x:c r="O567" s="46" t="str">
        <x:f>IF(D567="","",MAX(0,MIN(1,N567/Configuracion!$B$10)))</x:f>
      </x:c>
    </x:row>
    <x:row r="568">
      <x:c r="A568" s="34"/>
      <x:c r="B568" s="36"/>
      <x:c r="C568" s="72"/>
      <x:c r="D568" s="71"/>
      <x:c r="E568" s="41" t="str">
        <x:f>IF(D568="","",D568+273.15)</x:f>
      </x:c>
      <x:c r="F568" s="44" t="str">
        <x:f>IF(OR(C568="",D568="",C567=""),"",(C568-C567)/60)</x:f>
      </x:c>
      <x:c r="G568" s="44" t="str">
        <x:f>IF(D568="","",EXP(-Configuracion!$B$4/Configuracion!$B$5*(1/AVERAGE(E567:E568)-1/(Configuracion!$B$3+273.15))))</x:f>
      </x:c>
      <x:c r="H568" s="44" t="str">
        <x:f>IF(D568="","",F568*G568)</x:f>
      </x:c>
      <x:c r="I568" s="44" t="str">
        <x:f>IF(D568="","",I567+H568)</x:f>
      </x:c>
      <x:c r="J568" s="46" t="str">
        <x:f>IF(D568="","",MIN(1,I568/Configuracion!$B$11))</x:f>
      </x:c>
      <x:c r="K568" s="48" t="str">
        <x:f>IF(D568="","",MAX(0,(Configuracion!$B$11-I568)/G568))</x:f>
      </x:c>
      <x:c r="L568" s="73" t="str">
        <x:f>IF(D568="","",C568+K568*60)</x:f>
      </x:c>
      <x:c r="M568" t="str">
        <x:f>IF(D568="","",IF(J568&gt;=Configuracion!$B$13,"DESLIZAR",IF(J568&gt;=Configuracion!$B$12,"PREPARARSE","NO DESLIZAR")))</x:f>
      </x:c>
      <x:c r="N568" s="41" t="str">
        <x:f>IF(D568="","",D568-$D$8)</x:f>
      </x:c>
      <x:c r="O568" s="46" t="str">
        <x:f>IF(D568="","",MAX(0,MIN(1,N568/Configuracion!$B$10)))</x:f>
      </x:c>
    </x:row>
    <x:row r="569">
      <x:c r="A569" s="34"/>
      <x:c r="B569" s="36"/>
      <x:c r="C569" s="72"/>
      <x:c r="D569" s="71"/>
      <x:c r="E569" s="41" t="str">
        <x:f>IF(D569="","",D569+273.15)</x:f>
      </x:c>
      <x:c r="F569" s="44" t="str">
        <x:f>IF(OR(C569="",D569="",C568=""),"",(C569-C568)/60)</x:f>
      </x:c>
      <x:c r="G569" s="44" t="str">
        <x:f>IF(D569="","",EXP(-Configuracion!$B$4/Configuracion!$B$5*(1/AVERAGE(E568:E569)-1/(Configuracion!$B$3+273.15))))</x:f>
      </x:c>
      <x:c r="H569" s="44" t="str">
        <x:f>IF(D569="","",F569*G569)</x:f>
      </x:c>
      <x:c r="I569" s="44" t="str">
        <x:f>IF(D569="","",I568+H569)</x:f>
      </x:c>
      <x:c r="J569" s="46" t="str">
        <x:f>IF(D569="","",MIN(1,I569/Configuracion!$B$11))</x:f>
      </x:c>
      <x:c r="K569" s="48" t="str">
        <x:f>IF(D569="","",MAX(0,(Configuracion!$B$11-I569)/G569))</x:f>
      </x:c>
      <x:c r="L569" s="73" t="str">
        <x:f>IF(D569="","",C569+K569*60)</x:f>
      </x:c>
      <x:c r="M569" t="str">
        <x:f>IF(D569="","",IF(J569&gt;=Configuracion!$B$13,"DESLIZAR",IF(J569&gt;=Configuracion!$B$12,"PREPARARSE","NO DESLIZAR")))</x:f>
      </x:c>
      <x:c r="N569" s="41" t="str">
        <x:f>IF(D569="","",D569-$D$8)</x:f>
      </x:c>
      <x:c r="O569" s="46" t="str">
        <x:f>IF(D569="","",MAX(0,MIN(1,N569/Configuracion!$B$10)))</x:f>
      </x:c>
    </x:row>
    <x:row r="570">
      <x:c r="A570" s="34"/>
      <x:c r="B570" s="36"/>
      <x:c r="C570" s="72"/>
      <x:c r="D570" s="71"/>
      <x:c r="E570" s="41" t="str">
        <x:f>IF(D570="","",D570+273.15)</x:f>
      </x:c>
      <x:c r="F570" s="44" t="str">
        <x:f>IF(OR(C570="",D570="",C569=""),"",(C570-C569)/60)</x:f>
      </x:c>
      <x:c r="G570" s="44" t="str">
        <x:f>IF(D570="","",EXP(-Configuracion!$B$4/Configuracion!$B$5*(1/AVERAGE(E569:E570)-1/(Configuracion!$B$3+273.15))))</x:f>
      </x:c>
      <x:c r="H570" s="44" t="str">
        <x:f>IF(D570="","",F570*G570)</x:f>
      </x:c>
      <x:c r="I570" s="44" t="str">
        <x:f>IF(D570="","",I569+H570)</x:f>
      </x:c>
      <x:c r="J570" s="46" t="str">
        <x:f>IF(D570="","",MIN(1,I570/Configuracion!$B$11))</x:f>
      </x:c>
      <x:c r="K570" s="48" t="str">
        <x:f>IF(D570="","",MAX(0,(Configuracion!$B$11-I570)/G570))</x:f>
      </x:c>
      <x:c r="L570" s="73" t="str">
        <x:f>IF(D570="","",C570+K570*60)</x:f>
      </x:c>
      <x:c r="M570" t="str">
        <x:f>IF(D570="","",IF(J570&gt;=Configuracion!$B$13,"DESLIZAR",IF(J570&gt;=Configuracion!$B$12,"PREPARARSE","NO DESLIZAR")))</x:f>
      </x:c>
      <x:c r="N570" s="41" t="str">
        <x:f>IF(D570="","",D570-$D$8)</x:f>
      </x:c>
      <x:c r="O570" s="46" t="str">
        <x:f>IF(D570="","",MAX(0,MIN(1,N570/Configuracion!$B$10)))</x:f>
      </x:c>
    </x:row>
    <x:row r="571">
      <x:c r="A571" s="34"/>
      <x:c r="B571" s="36"/>
      <x:c r="C571" s="72"/>
      <x:c r="D571" s="71"/>
      <x:c r="E571" s="41" t="str">
        <x:f>IF(D571="","",D571+273.15)</x:f>
      </x:c>
      <x:c r="F571" s="44" t="str">
        <x:f>IF(OR(C571="",D571="",C570=""),"",(C571-C570)/60)</x:f>
      </x:c>
      <x:c r="G571" s="44" t="str">
        <x:f>IF(D571="","",EXP(-Configuracion!$B$4/Configuracion!$B$5*(1/AVERAGE(E570:E571)-1/(Configuracion!$B$3+273.15))))</x:f>
      </x:c>
      <x:c r="H571" s="44" t="str">
        <x:f>IF(D571="","",F571*G571)</x:f>
      </x:c>
      <x:c r="I571" s="44" t="str">
        <x:f>IF(D571="","",I570+H571)</x:f>
      </x:c>
      <x:c r="J571" s="46" t="str">
        <x:f>IF(D571="","",MIN(1,I571/Configuracion!$B$11))</x:f>
      </x:c>
      <x:c r="K571" s="48" t="str">
        <x:f>IF(D571="","",MAX(0,(Configuracion!$B$11-I571)/G571))</x:f>
      </x:c>
      <x:c r="L571" s="73" t="str">
        <x:f>IF(D571="","",C571+K571*60)</x:f>
      </x:c>
      <x:c r="M571" t="str">
        <x:f>IF(D571="","",IF(J571&gt;=Configuracion!$B$13,"DESLIZAR",IF(J571&gt;=Configuracion!$B$12,"PREPARARSE","NO DESLIZAR")))</x:f>
      </x:c>
      <x:c r="N571" s="41" t="str">
        <x:f>IF(D571="","",D571-$D$8)</x:f>
      </x:c>
      <x:c r="O571" s="46" t="str">
        <x:f>IF(D571="","",MAX(0,MIN(1,N571/Configuracion!$B$10)))</x:f>
      </x:c>
    </x:row>
    <x:row r="572">
      <x:c r="A572" s="34"/>
      <x:c r="B572" s="36"/>
      <x:c r="C572" s="72"/>
      <x:c r="D572" s="71"/>
      <x:c r="E572" s="41" t="str">
        <x:f>IF(D572="","",D572+273.15)</x:f>
      </x:c>
      <x:c r="F572" s="44" t="str">
        <x:f>IF(OR(C572="",D572="",C571=""),"",(C572-C571)/60)</x:f>
      </x:c>
      <x:c r="G572" s="44" t="str">
        <x:f>IF(D572="","",EXP(-Configuracion!$B$4/Configuracion!$B$5*(1/AVERAGE(E571:E572)-1/(Configuracion!$B$3+273.15))))</x:f>
      </x:c>
      <x:c r="H572" s="44" t="str">
        <x:f>IF(D572="","",F572*G572)</x:f>
      </x:c>
      <x:c r="I572" s="44" t="str">
        <x:f>IF(D572="","",I571+H572)</x:f>
      </x:c>
      <x:c r="J572" s="46" t="str">
        <x:f>IF(D572="","",MIN(1,I572/Configuracion!$B$11))</x:f>
      </x:c>
      <x:c r="K572" s="48" t="str">
        <x:f>IF(D572="","",MAX(0,(Configuracion!$B$11-I572)/G572))</x:f>
      </x:c>
      <x:c r="L572" s="73" t="str">
        <x:f>IF(D572="","",C572+K572*60)</x:f>
      </x:c>
      <x:c r="M572" t="str">
        <x:f>IF(D572="","",IF(J572&gt;=Configuracion!$B$13,"DESLIZAR",IF(J572&gt;=Configuracion!$B$12,"PREPARARSE","NO DESLIZAR")))</x:f>
      </x:c>
      <x:c r="N572" s="41" t="str">
        <x:f>IF(D572="","",D572-$D$8)</x:f>
      </x:c>
      <x:c r="O572" s="46" t="str">
        <x:f>IF(D572="","",MAX(0,MIN(1,N572/Configuracion!$B$10)))</x:f>
      </x:c>
    </x:row>
    <x:row r="573">
      <x:c r="A573" s="34"/>
      <x:c r="B573" s="36"/>
      <x:c r="C573" s="72"/>
      <x:c r="D573" s="71"/>
      <x:c r="E573" s="41" t="str">
        <x:f>IF(D573="","",D573+273.15)</x:f>
      </x:c>
      <x:c r="F573" s="44" t="str">
        <x:f>IF(OR(C573="",D573="",C572=""),"",(C573-C572)/60)</x:f>
      </x:c>
      <x:c r="G573" s="44" t="str">
        <x:f>IF(D573="","",EXP(-Configuracion!$B$4/Configuracion!$B$5*(1/AVERAGE(E572:E573)-1/(Configuracion!$B$3+273.15))))</x:f>
      </x:c>
      <x:c r="H573" s="44" t="str">
        <x:f>IF(D573="","",F573*G573)</x:f>
      </x:c>
      <x:c r="I573" s="44" t="str">
        <x:f>IF(D573="","",I572+H573)</x:f>
      </x:c>
      <x:c r="J573" s="46" t="str">
        <x:f>IF(D573="","",MIN(1,I573/Configuracion!$B$11))</x:f>
      </x:c>
      <x:c r="K573" s="48" t="str">
        <x:f>IF(D573="","",MAX(0,(Configuracion!$B$11-I573)/G573))</x:f>
      </x:c>
      <x:c r="L573" s="73" t="str">
        <x:f>IF(D573="","",C573+K573*60)</x:f>
      </x:c>
      <x:c r="M573" t="str">
        <x:f>IF(D573="","",IF(J573&gt;=Configuracion!$B$13,"DESLIZAR",IF(J573&gt;=Configuracion!$B$12,"PREPARARSE","NO DESLIZAR")))</x:f>
      </x:c>
      <x:c r="N573" s="41" t="str">
        <x:f>IF(D573="","",D573-$D$8)</x:f>
      </x:c>
      <x:c r="O573" s="46" t="str">
        <x:f>IF(D573="","",MAX(0,MIN(1,N573/Configuracion!$B$10)))</x:f>
      </x:c>
    </x:row>
    <x:row r="574">
      <x:c r="A574" s="34"/>
      <x:c r="B574" s="36"/>
      <x:c r="C574" s="72"/>
      <x:c r="D574" s="71"/>
      <x:c r="E574" s="41" t="str">
        <x:f>IF(D574="","",D574+273.15)</x:f>
      </x:c>
      <x:c r="F574" s="44" t="str">
        <x:f>IF(OR(C574="",D574="",C573=""),"",(C574-C573)/60)</x:f>
      </x:c>
      <x:c r="G574" s="44" t="str">
        <x:f>IF(D574="","",EXP(-Configuracion!$B$4/Configuracion!$B$5*(1/AVERAGE(E573:E574)-1/(Configuracion!$B$3+273.15))))</x:f>
      </x:c>
      <x:c r="H574" s="44" t="str">
        <x:f>IF(D574="","",F574*G574)</x:f>
      </x:c>
      <x:c r="I574" s="44" t="str">
        <x:f>IF(D574="","",I573+H574)</x:f>
      </x:c>
      <x:c r="J574" s="46" t="str">
        <x:f>IF(D574="","",MIN(1,I574/Configuracion!$B$11))</x:f>
      </x:c>
      <x:c r="K574" s="48" t="str">
        <x:f>IF(D574="","",MAX(0,(Configuracion!$B$11-I574)/G574))</x:f>
      </x:c>
      <x:c r="L574" s="73" t="str">
        <x:f>IF(D574="","",C574+K574*60)</x:f>
      </x:c>
      <x:c r="M574" t="str">
        <x:f>IF(D574="","",IF(J574&gt;=Configuracion!$B$13,"DESLIZAR",IF(J574&gt;=Configuracion!$B$12,"PREPARARSE","NO DESLIZAR")))</x:f>
      </x:c>
      <x:c r="N574" s="41" t="str">
        <x:f>IF(D574="","",D574-$D$8)</x:f>
      </x:c>
      <x:c r="O574" s="46" t="str">
        <x:f>IF(D574="","",MAX(0,MIN(1,N574/Configuracion!$B$10)))</x:f>
      </x:c>
    </x:row>
    <x:row r="575">
      <x:c r="A575" s="34"/>
      <x:c r="B575" s="36"/>
      <x:c r="C575" s="72"/>
      <x:c r="D575" s="71"/>
      <x:c r="E575" s="41" t="str">
        <x:f>IF(D575="","",D575+273.15)</x:f>
      </x:c>
      <x:c r="F575" s="44" t="str">
        <x:f>IF(OR(C575="",D575="",C574=""),"",(C575-C574)/60)</x:f>
      </x:c>
      <x:c r="G575" s="44" t="str">
        <x:f>IF(D575="","",EXP(-Configuracion!$B$4/Configuracion!$B$5*(1/AVERAGE(E574:E575)-1/(Configuracion!$B$3+273.15))))</x:f>
      </x:c>
      <x:c r="H575" s="44" t="str">
        <x:f>IF(D575="","",F575*G575)</x:f>
      </x:c>
      <x:c r="I575" s="44" t="str">
        <x:f>IF(D575="","",I574+H575)</x:f>
      </x:c>
      <x:c r="J575" s="46" t="str">
        <x:f>IF(D575="","",MIN(1,I575/Configuracion!$B$11))</x:f>
      </x:c>
      <x:c r="K575" s="48" t="str">
        <x:f>IF(D575="","",MAX(0,(Configuracion!$B$11-I575)/G575))</x:f>
      </x:c>
      <x:c r="L575" s="73" t="str">
        <x:f>IF(D575="","",C575+K575*60)</x:f>
      </x:c>
      <x:c r="M575" t="str">
        <x:f>IF(D575="","",IF(J575&gt;=Configuracion!$B$13,"DESLIZAR",IF(J575&gt;=Configuracion!$B$12,"PREPARARSE","NO DESLIZAR")))</x:f>
      </x:c>
      <x:c r="N575" s="41" t="str">
        <x:f>IF(D575="","",D575-$D$8)</x:f>
      </x:c>
      <x:c r="O575" s="46" t="str">
        <x:f>IF(D575="","",MAX(0,MIN(1,N575/Configuracion!$B$10)))</x:f>
      </x:c>
    </x:row>
    <x:row r="576">
      <x:c r="A576" s="34"/>
      <x:c r="B576" s="36"/>
      <x:c r="C576" s="72"/>
      <x:c r="D576" s="71"/>
      <x:c r="E576" s="41" t="str">
        <x:f>IF(D576="","",D576+273.15)</x:f>
      </x:c>
      <x:c r="F576" s="44" t="str">
        <x:f>IF(OR(C576="",D576="",C575=""),"",(C576-C575)/60)</x:f>
      </x:c>
      <x:c r="G576" s="44" t="str">
        <x:f>IF(D576="","",EXP(-Configuracion!$B$4/Configuracion!$B$5*(1/AVERAGE(E575:E576)-1/(Configuracion!$B$3+273.15))))</x:f>
      </x:c>
      <x:c r="H576" s="44" t="str">
        <x:f>IF(D576="","",F576*G576)</x:f>
      </x:c>
      <x:c r="I576" s="44" t="str">
        <x:f>IF(D576="","",I575+H576)</x:f>
      </x:c>
      <x:c r="J576" s="46" t="str">
        <x:f>IF(D576="","",MIN(1,I576/Configuracion!$B$11))</x:f>
      </x:c>
      <x:c r="K576" s="48" t="str">
        <x:f>IF(D576="","",MAX(0,(Configuracion!$B$11-I576)/G576))</x:f>
      </x:c>
      <x:c r="L576" s="73" t="str">
        <x:f>IF(D576="","",C576+K576*60)</x:f>
      </x:c>
      <x:c r="M576" t="str">
        <x:f>IF(D576="","",IF(J576&gt;=Configuracion!$B$13,"DESLIZAR",IF(J576&gt;=Configuracion!$B$12,"PREPARARSE","NO DESLIZAR")))</x:f>
      </x:c>
      <x:c r="N576" s="41" t="str">
        <x:f>IF(D576="","",D576-$D$8)</x:f>
      </x:c>
      <x:c r="O576" s="46" t="str">
        <x:f>IF(D576="","",MAX(0,MIN(1,N576/Configuracion!$B$10)))</x:f>
      </x:c>
    </x:row>
    <x:row r="577">
      <x:c r="A577" s="34"/>
      <x:c r="B577" s="36"/>
      <x:c r="C577" s="72"/>
      <x:c r="D577" s="71"/>
      <x:c r="E577" s="41" t="str">
        <x:f>IF(D577="","",D577+273.15)</x:f>
      </x:c>
      <x:c r="F577" s="44" t="str">
        <x:f>IF(OR(C577="",D577="",C576=""),"",(C577-C576)/60)</x:f>
      </x:c>
      <x:c r="G577" s="44" t="str">
        <x:f>IF(D577="","",EXP(-Configuracion!$B$4/Configuracion!$B$5*(1/AVERAGE(E576:E577)-1/(Configuracion!$B$3+273.15))))</x:f>
      </x:c>
      <x:c r="H577" s="44" t="str">
        <x:f>IF(D577="","",F577*G577)</x:f>
      </x:c>
      <x:c r="I577" s="44" t="str">
        <x:f>IF(D577="","",I576+H577)</x:f>
      </x:c>
      <x:c r="J577" s="46" t="str">
        <x:f>IF(D577="","",MIN(1,I577/Configuracion!$B$11))</x:f>
      </x:c>
      <x:c r="K577" s="48" t="str">
        <x:f>IF(D577="","",MAX(0,(Configuracion!$B$11-I577)/G577))</x:f>
      </x:c>
      <x:c r="L577" s="73" t="str">
        <x:f>IF(D577="","",C577+K577*60)</x:f>
      </x:c>
      <x:c r="M577" t="str">
        <x:f>IF(D577="","",IF(J577&gt;=Configuracion!$B$13,"DESLIZAR",IF(J577&gt;=Configuracion!$B$12,"PREPARARSE","NO DESLIZAR")))</x:f>
      </x:c>
      <x:c r="N577" s="41" t="str">
        <x:f>IF(D577="","",D577-$D$8)</x:f>
      </x:c>
      <x:c r="O577" s="46" t="str">
        <x:f>IF(D577="","",MAX(0,MIN(1,N577/Configuracion!$B$10)))</x:f>
      </x:c>
    </x:row>
    <x:row r="578">
      <x:c r="A578" s="34"/>
      <x:c r="B578" s="36"/>
      <x:c r="C578" s="72"/>
      <x:c r="D578" s="71"/>
      <x:c r="E578" s="41" t="str">
        <x:f>IF(D578="","",D578+273.15)</x:f>
      </x:c>
      <x:c r="F578" s="44" t="str">
        <x:f>IF(OR(C578="",D578="",C577=""),"",(C578-C577)/60)</x:f>
      </x:c>
      <x:c r="G578" s="44" t="str">
        <x:f>IF(D578="","",EXP(-Configuracion!$B$4/Configuracion!$B$5*(1/AVERAGE(E577:E578)-1/(Configuracion!$B$3+273.15))))</x:f>
      </x:c>
      <x:c r="H578" s="44" t="str">
        <x:f>IF(D578="","",F578*G578)</x:f>
      </x:c>
      <x:c r="I578" s="44" t="str">
        <x:f>IF(D578="","",I577+H578)</x:f>
      </x:c>
      <x:c r="J578" s="46" t="str">
        <x:f>IF(D578="","",MIN(1,I578/Configuracion!$B$11))</x:f>
      </x:c>
      <x:c r="K578" s="48" t="str">
        <x:f>IF(D578="","",MAX(0,(Configuracion!$B$11-I578)/G578))</x:f>
      </x:c>
      <x:c r="L578" s="73" t="str">
        <x:f>IF(D578="","",C578+K578*60)</x:f>
      </x:c>
      <x:c r="M578" t="str">
        <x:f>IF(D578="","",IF(J578&gt;=Configuracion!$B$13,"DESLIZAR",IF(J578&gt;=Configuracion!$B$12,"PREPARARSE","NO DESLIZAR")))</x:f>
      </x:c>
      <x:c r="N578" s="41" t="str">
        <x:f>IF(D578="","",D578-$D$8)</x:f>
      </x:c>
      <x:c r="O578" s="46" t="str">
        <x:f>IF(D578="","",MAX(0,MIN(1,N578/Configuracion!$B$10)))</x:f>
      </x:c>
    </x:row>
    <x:row r="579">
      <x:c r="A579" s="34"/>
      <x:c r="B579" s="36"/>
      <x:c r="C579" s="72"/>
      <x:c r="D579" s="71"/>
      <x:c r="E579" s="41" t="str">
        <x:f>IF(D579="","",D579+273.15)</x:f>
      </x:c>
      <x:c r="F579" s="44" t="str">
        <x:f>IF(OR(C579="",D579="",C578=""),"",(C579-C578)/60)</x:f>
      </x:c>
      <x:c r="G579" s="44" t="str">
        <x:f>IF(D579="","",EXP(-Configuracion!$B$4/Configuracion!$B$5*(1/AVERAGE(E578:E579)-1/(Configuracion!$B$3+273.15))))</x:f>
      </x:c>
      <x:c r="H579" s="44" t="str">
        <x:f>IF(D579="","",F579*G579)</x:f>
      </x:c>
      <x:c r="I579" s="44" t="str">
        <x:f>IF(D579="","",I578+H579)</x:f>
      </x:c>
      <x:c r="J579" s="46" t="str">
        <x:f>IF(D579="","",MIN(1,I579/Configuracion!$B$11))</x:f>
      </x:c>
      <x:c r="K579" s="48" t="str">
        <x:f>IF(D579="","",MAX(0,(Configuracion!$B$11-I579)/G579))</x:f>
      </x:c>
      <x:c r="L579" s="73" t="str">
        <x:f>IF(D579="","",C579+K579*60)</x:f>
      </x:c>
      <x:c r="M579" t="str">
        <x:f>IF(D579="","",IF(J579&gt;=Configuracion!$B$13,"DESLIZAR",IF(J579&gt;=Configuracion!$B$12,"PREPARARSE","NO DESLIZAR")))</x:f>
      </x:c>
      <x:c r="N579" s="41" t="str">
        <x:f>IF(D579="","",D579-$D$8)</x:f>
      </x:c>
      <x:c r="O579" s="46" t="str">
        <x:f>IF(D579="","",MAX(0,MIN(1,N579/Configuracion!$B$10)))</x:f>
      </x:c>
    </x:row>
    <x:row r="580">
      <x:c r="A580" s="34"/>
      <x:c r="B580" s="36"/>
      <x:c r="C580" s="72"/>
      <x:c r="D580" s="71"/>
      <x:c r="E580" s="41" t="str">
        <x:f>IF(D580="","",D580+273.15)</x:f>
      </x:c>
      <x:c r="F580" s="44" t="str">
        <x:f>IF(OR(C580="",D580="",C579=""),"",(C580-C579)/60)</x:f>
      </x:c>
      <x:c r="G580" s="44" t="str">
        <x:f>IF(D580="","",EXP(-Configuracion!$B$4/Configuracion!$B$5*(1/AVERAGE(E579:E580)-1/(Configuracion!$B$3+273.15))))</x:f>
      </x:c>
      <x:c r="H580" s="44" t="str">
        <x:f>IF(D580="","",F580*G580)</x:f>
      </x:c>
      <x:c r="I580" s="44" t="str">
        <x:f>IF(D580="","",I579+H580)</x:f>
      </x:c>
      <x:c r="J580" s="46" t="str">
        <x:f>IF(D580="","",MIN(1,I580/Configuracion!$B$11))</x:f>
      </x:c>
      <x:c r="K580" s="48" t="str">
        <x:f>IF(D580="","",MAX(0,(Configuracion!$B$11-I580)/G580))</x:f>
      </x:c>
      <x:c r="L580" s="73" t="str">
        <x:f>IF(D580="","",C580+K580*60)</x:f>
      </x:c>
      <x:c r="M580" t="str">
        <x:f>IF(D580="","",IF(J580&gt;=Configuracion!$B$13,"DESLIZAR",IF(J580&gt;=Configuracion!$B$12,"PREPARARSE","NO DESLIZAR")))</x:f>
      </x:c>
      <x:c r="N580" s="41" t="str">
        <x:f>IF(D580="","",D580-$D$8)</x:f>
      </x:c>
      <x:c r="O580" s="46" t="str">
        <x:f>IF(D580="","",MAX(0,MIN(1,N580/Configuracion!$B$10)))</x:f>
      </x:c>
    </x:row>
    <x:row r="581">
      <x:c r="A581" s="34"/>
      <x:c r="B581" s="36"/>
      <x:c r="C581" s="72"/>
      <x:c r="D581" s="71"/>
      <x:c r="E581" s="41" t="str">
        <x:f>IF(D581="","",D581+273.15)</x:f>
      </x:c>
      <x:c r="F581" s="44" t="str">
        <x:f>IF(OR(C581="",D581="",C580=""),"",(C581-C580)/60)</x:f>
      </x:c>
      <x:c r="G581" s="44" t="str">
        <x:f>IF(D581="","",EXP(-Configuracion!$B$4/Configuracion!$B$5*(1/AVERAGE(E580:E581)-1/(Configuracion!$B$3+273.15))))</x:f>
      </x:c>
      <x:c r="H581" s="44" t="str">
        <x:f>IF(D581="","",F581*G581)</x:f>
      </x:c>
      <x:c r="I581" s="44" t="str">
        <x:f>IF(D581="","",I580+H581)</x:f>
      </x:c>
      <x:c r="J581" s="46" t="str">
        <x:f>IF(D581="","",MIN(1,I581/Configuracion!$B$11))</x:f>
      </x:c>
      <x:c r="K581" s="48" t="str">
        <x:f>IF(D581="","",MAX(0,(Configuracion!$B$11-I581)/G581))</x:f>
      </x:c>
      <x:c r="L581" s="73" t="str">
        <x:f>IF(D581="","",C581+K581*60)</x:f>
      </x:c>
      <x:c r="M581" t="str">
        <x:f>IF(D581="","",IF(J581&gt;=Configuracion!$B$13,"DESLIZAR",IF(J581&gt;=Configuracion!$B$12,"PREPARARSE","NO DESLIZAR")))</x:f>
      </x:c>
      <x:c r="N581" s="41" t="str">
        <x:f>IF(D581="","",D581-$D$8)</x:f>
      </x:c>
      <x:c r="O581" s="46" t="str">
        <x:f>IF(D581="","",MAX(0,MIN(1,N581/Configuracion!$B$10)))</x:f>
      </x:c>
    </x:row>
    <x:row r="582">
      <x:c r="A582" s="34"/>
      <x:c r="B582" s="36"/>
      <x:c r="C582" s="72"/>
      <x:c r="D582" s="71"/>
      <x:c r="E582" s="41" t="str">
        <x:f>IF(D582="","",D582+273.15)</x:f>
      </x:c>
      <x:c r="F582" s="44" t="str">
        <x:f>IF(OR(C582="",D582="",C581=""),"",(C582-C581)/60)</x:f>
      </x:c>
      <x:c r="G582" s="44" t="str">
        <x:f>IF(D582="","",EXP(-Configuracion!$B$4/Configuracion!$B$5*(1/AVERAGE(E581:E582)-1/(Configuracion!$B$3+273.15))))</x:f>
      </x:c>
      <x:c r="H582" s="44" t="str">
        <x:f>IF(D582="","",F582*G582)</x:f>
      </x:c>
      <x:c r="I582" s="44" t="str">
        <x:f>IF(D582="","",I581+H582)</x:f>
      </x:c>
      <x:c r="J582" s="46" t="str">
        <x:f>IF(D582="","",MIN(1,I582/Configuracion!$B$11))</x:f>
      </x:c>
      <x:c r="K582" s="48" t="str">
        <x:f>IF(D582="","",MAX(0,(Configuracion!$B$11-I582)/G582))</x:f>
      </x:c>
      <x:c r="L582" s="73" t="str">
        <x:f>IF(D582="","",C582+K582*60)</x:f>
      </x:c>
      <x:c r="M582" t="str">
        <x:f>IF(D582="","",IF(J582&gt;=Configuracion!$B$13,"DESLIZAR",IF(J582&gt;=Configuracion!$B$12,"PREPARARSE","NO DESLIZAR")))</x:f>
      </x:c>
      <x:c r="N582" s="41" t="str">
        <x:f>IF(D582="","",D582-$D$8)</x:f>
      </x:c>
      <x:c r="O582" s="46" t="str">
        <x:f>IF(D582="","",MAX(0,MIN(1,N582/Configuracion!$B$10)))</x:f>
      </x:c>
    </x:row>
    <x:row r="583">
      <x:c r="A583" s="34"/>
      <x:c r="B583" s="36"/>
      <x:c r="C583" s="72"/>
      <x:c r="D583" s="71"/>
      <x:c r="E583" s="41" t="str">
        <x:f>IF(D583="","",D583+273.15)</x:f>
      </x:c>
      <x:c r="F583" s="44" t="str">
        <x:f>IF(OR(C583="",D583="",C582=""),"",(C583-C582)/60)</x:f>
      </x:c>
      <x:c r="G583" s="44" t="str">
        <x:f>IF(D583="","",EXP(-Configuracion!$B$4/Configuracion!$B$5*(1/AVERAGE(E582:E583)-1/(Configuracion!$B$3+273.15))))</x:f>
      </x:c>
      <x:c r="H583" s="44" t="str">
        <x:f>IF(D583="","",F583*G583)</x:f>
      </x:c>
      <x:c r="I583" s="44" t="str">
        <x:f>IF(D583="","",I582+H583)</x:f>
      </x:c>
      <x:c r="J583" s="46" t="str">
        <x:f>IF(D583="","",MIN(1,I583/Configuracion!$B$11))</x:f>
      </x:c>
      <x:c r="K583" s="48" t="str">
        <x:f>IF(D583="","",MAX(0,(Configuracion!$B$11-I583)/G583))</x:f>
      </x:c>
      <x:c r="L583" s="73" t="str">
        <x:f>IF(D583="","",C583+K583*60)</x:f>
      </x:c>
      <x:c r="M583" t="str">
        <x:f>IF(D583="","",IF(J583&gt;=Configuracion!$B$13,"DESLIZAR",IF(J583&gt;=Configuracion!$B$12,"PREPARARSE","NO DESLIZAR")))</x:f>
      </x:c>
      <x:c r="N583" s="41" t="str">
        <x:f>IF(D583="","",D583-$D$8)</x:f>
      </x:c>
      <x:c r="O583" s="46" t="str">
        <x:f>IF(D583="","",MAX(0,MIN(1,N583/Configuracion!$B$10)))</x:f>
      </x:c>
    </x:row>
    <x:row r="584">
      <x:c r="A584" s="34"/>
      <x:c r="B584" s="36"/>
      <x:c r="C584" s="72"/>
      <x:c r="D584" s="71"/>
      <x:c r="E584" s="41" t="str">
        <x:f>IF(D584="","",D584+273.15)</x:f>
      </x:c>
      <x:c r="F584" s="44" t="str">
        <x:f>IF(OR(C584="",D584="",C583=""),"",(C584-C583)/60)</x:f>
      </x:c>
      <x:c r="G584" s="44" t="str">
        <x:f>IF(D584="","",EXP(-Configuracion!$B$4/Configuracion!$B$5*(1/AVERAGE(E583:E584)-1/(Configuracion!$B$3+273.15))))</x:f>
      </x:c>
      <x:c r="H584" s="44" t="str">
        <x:f>IF(D584="","",F584*G584)</x:f>
      </x:c>
      <x:c r="I584" s="44" t="str">
        <x:f>IF(D584="","",I583+H584)</x:f>
      </x:c>
      <x:c r="J584" s="46" t="str">
        <x:f>IF(D584="","",MIN(1,I584/Configuracion!$B$11))</x:f>
      </x:c>
      <x:c r="K584" s="48" t="str">
        <x:f>IF(D584="","",MAX(0,(Configuracion!$B$11-I584)/G584))</x:f>
      </x:c>
      <x:c r="L584" s="73" t="str">
        <x:f>IF(D584="","",C584+K584*60)</x:f>
      </x:c>
      <x:c r="M584" t="str">
        <x:f>IF(D584="","",IF(J584&gt;=Configuracion!$B$13,"DESLIZAR",IF(J584&gt;=Configuracion!$B$12,"PREPARARSE","NO DESLIZAR")))</x:f>
      </x:c>
      <x:c r="N584" s="41" t="str">
        <x:f>IF(D584="","",D584-$D$8)</x:f>
      </x:c>
      <x:c r="O584" s="46" t="str">
        <x:f>IF(D584="","",MAX(0,MIN(1,N584/Configuracion!$B$10)))</x:f>
      </x:c>
    </x:row>
    <x:row r="585">
      <x:c r="A585" s="34"/>
      <x:c r="B585" s="36"/>
      <x:c r="C585" s="72"/>
      <x:c r="D585" s="71"/>
      <x:c r="E585" s="41" t="str">
        <x:f>IF(D585="","",D585+273.15)</x:f>
      </x:c>
      <x:c r="F585" s="44" t="str">
        <x:f>IF(OR(C585="",D585="",C584=""),"",(C585-C584)/60)</x:f>
      </x:c>
      <x:c r="G585" s="44" t="str">
        <x:f>IF(D585="","",EXP(-Configuracion!$B$4/Configuracion!$B$5*(1/AVERAGE(E584:E585)-1/(Configuracion!$B$3+273.15))))</x:f>
      </x:c>
      <x:c r="H585" s="44" t="str">
        <x:f>IF(D585="","",F585*G585)</x:f>
      </x:c>
      <x:c r="I585" s="44" t="str">
        <x:f>IF(D585="","",I584+H585)</x:f>
      </x:c>
      <x:c r="J585" s="46" t="str">
        <x:f>IF(D585="","",MIN(1,I585/Configuracion!$B$11))</x:f>
      </x:c>
      <x:c r="K585" s="48" t="str">
        <x:f>IF(D585="","",MAX(0,(Configuracion!$B$11-I585)/G585))</x:f>
      </x:c>
      <x:c r="L585" s="73" t="str">
        <x:f>IF(D585="","",C585+K585*60)</x:f>
      </x:c>
      <x:c r="M585" t="str">
        <x:f>IF(D585="","",IF(J585&gt;=Configuracion!$B$13,"DESLIZAR",IF(J585&gt;=Configuracion!$B$12,"PREPARARSE","NO DESLIZAR")))</x:f>
      </x:c>
      <x:c r="N585" s="41" t="str">
        <x:f>IF(D585="","",D585-$D$8)</x:f>
      </x:c>
      <x:c r="O585" s="46" t="str">
        <x:f>IF(D585="","",MAX(0,MIN(1,N585/Configuracion!$B$10)))</x:f>
      </x:c>
    </x:row>
    <x:row r="586">
      <x:c r="A586" s="34"/>
      <x:c r="B586" s="36"/>
      <x:c r="C586" s="72"/>
      <x:c r="D586" s="71"/>
      <x:c r="E586" s="41" t="str">
        <x:f>IF(D586="","",D586+273.15)</x:f>
      </x:c>
      <x:c r="F586" s="44" t="str">
        <x:f>IF(OR(C586="",D586="",C585=""),"",(C586-C585)/60)</x:f>
      </x:c>
      <x:c r="G586" s="44" t="str">
        <x:f>IF(D586="","",EXP(-Configuracion!$B$4/Configuracion!$B$5*(1/AVERAGE(E585:E586)-1/(Configuracion!$B$3+273.15))))</x:f>
      </x:c>
      <x:c r="H586" s="44" t="str">
        <x:f>IF(D586="","",F586*G586)</x:f>
      </x:c>
      <x:c r="I586" s="44" t="str">
        <x:f>IF(D586="","",I585+H586)</x:f>
      </x:c>
      <x:c r="J586" s="46" t="str">
        <x:f>IF(D586="","",MIN(1,I586/Configuracion!$B$11))</x:f>
      </x:c>
      <x:c r="K586" s="48" t="str">
        <x:f>IF(D586="","",MAX(0,(Configuracion!$B$11-I586)/G586))</x:f>
      </x:c>
      <x:c r="L586" s="73" t="str">
        <x:f>IF(D586="","",C586+K586*60)</x:f>
      </x:c>
      <x:c r="M586" t="str">
        <x:f>IF(D586="","",IF(J586&gt;=Configuracion!$B$13,"DESLIZAR",IF(J586&gt;=Configuracion!$B$12,"PREPARARSE","NO DESLIZAR")))</x:f>
      </x:c>
      <x:c r="N586" s="41" t="str">
        <x:f>IF(D586="","",D586-$D$8)</x:f>
      </x:c>
      <x:c r="O586" s="46" t="str">
        <x:f>IF(D586="","",MAX(0,MIN(1,N586/Configuracion!$B$10)))</x:f>
      </x:c>
    </x:row>
    <x:row r="587">
      <x:c r="A587" s="34"/>
      <x:c r="B587" s="36"/>
      <x:c r="C587" s="72"/>
      <x:c r="D587" s="71"/>
      <x:c r="E587" s="41" t="str">
        <x:f>IF(D587="","",D587+273.15)</x:f>
      </x:c>
      <x:c r="F587" s="44" t="str">
        <x:f>IF(OR(C587="",D587="",C586=""),"",(C587-C586)/60)</x:f>
      </x:c>
      <x:c r="G587" s="44" t="str">
        <x:f>IF(D587="","",EXP(-Configuracion!$B$4/Configuracion!$B$5*(1/AVERAGE(E586:E587)-1/(Configuracion!$B$3+273.15))))</x:f>
      </x:c>
      <x:c r="H587" s="44" t="str">
        <x:f>IF(D587="","",F587*G587)</x:f>
      </x:c>
      <x:c r="I587" s="44" t="str">
        <x:f>IF(D587="","",I586+H587)</x:f>
      </x:c>
      <x:c r="J587" s="46" t="str">
        <x:f>IF(D587="","",MIN(1,I587/Configuracion!$B$11))</x:f>
      </x:c>
      <x:c r="K587" s="48" t="str">
        <x:f>IF(D587="","",MAX(0,(Configuracion!$B$11-I587)/G587))</x:f>
      </x:c>
      <x:c r="L587" s="73" t="str">
        <x:f>IF(D587="","",C587+K587*60)</x:f>
      </x:c>
      <x:c r="M587" t="str">
        <x:f>IF(D587="","",IF(J587&gt;=Configuracion!$B$13,"DESLIZAR",IF(J587&gt;=Configuracion!$B$12,"PREPARARSE","NO DESLIZAR")))</x:f>
      </x:c>
      <x:c r="N587" s="41" t="str">
        <x:f>IF(D587="","",D587-$D$8)</x:f>
      </x:c>
      <x:c r="O587" s="46" t="str">
        <x:f>IF(D587="","",MAX(0,MIN(1,N587/Configuracion!$B$10)))</x:f>
      </x:c>
    </x:row>
    <x:row r="588">
      <x:c r="A588" s="34"/>
      <x:c r="B588" s="36"/>
      <x:c r="C588" s="72"/>
      <x:c r="D588" s="71"/>
      <x:c r="E588" s="41" t="str">
        <x:f>IF(D588="","",D588+273.15)</x:f>
      </x:c>
      <x:c r="F588" s="44" t="str">
        <x:f>IF(OR(C588="",D588="",C587=""),"",(C588-C587)/60)</x:f>
      </x:c>
      <x:c r="G588" s="44" t="str">
        <x:f>IF(D588="","",EXP(-Configuracion!$B$4/Configuracion!$B$5*(1/AVERAGE(E587:E588)-1/(Configuracion!$B$3+273.15))))</x:f>
      </x:c>
      <x:c r="H588" s="44" t="str">
        <x:f>IF(D588="","",F588*G588)</x:f>
      </x:c>
      <x:c r="I588" s="44" t="str">
        <x:f>IF(D588="","",I587+H588)</x:f>
      </x:c>
      <x:c r="J588" s="46" t="str">
        <x:f>IF(D588="","",MIN(1,I588/Configuracion!$B$11))</x:f>
      </x:c>
      <x:c r="K588" s="48" t="str">
        <x:f>IF(D588="","",MAX(0,(Configuracion!$B$11-I588)/G588))</x:f>
      </x:c>
      <x:c r="L588" s="73" t="str">
        <x:f>IF(D588="","",C588+K588*60)</x:f>
      </x:c>
      <x:c r="M588" t="str">
        <x:f>IF(D588="","",IF(J588&gt;=Configuracion!$B$13,"DESLIZAR",IF(J588&gt;=Configuracion!$B$12,"PREPARARSE","NO DESLIZAR")))</x:f>
      </x:c>
      <x:c r="N588" s="41" t="str">
        <x:f>IF(D588="","",D588-$D$8)</x:f>
      </x:c>
      <x:c r="O588" s="46" t="str">
        <x:f>IF(D588="","",MAX(0,MIN(1,N588/Configuracion!$B$10)))</x:f>
      </x:c>
    </x:row>
    <x:row r="589">
      <x:c r="A589" s="34"/>
      <x:c r="B589" s="36"/>
      <x:c r="C589" s="72"/>
      <x:c r="D589" s="71"/>
      <x:c r="E589" s="41" t="str">
        <x:f>IF(D589="","",D589+273.15)</x:f>
      </x:c>
      <x:c r="F589" s="44" t="str">
        <x:f>IF(OR(C589="",D589="",C588=""),"",(C589-C588)/60)</x:f>
      </x:c>
      <x:c r="G589" s="44" t="str">
        <x:f>IF(D589="","",EXP(-Configuracion!$B$4/Configuracion!$B$5*(1/AVERAGE(E588:E589)-1/(Configuracion!$B$3+273.15))))</x:f>
      </x:c>
      <x:c r="H589" s="44" t="str">
        <x:f>IF(D589="","",F589*G589)</x:f>
      </x:c>
      <x:c r="I589" s="44" t="str">
        <x:f>IF(D589="","",I588+H589)</x:f>
      </x:c>
      <x:c r="J589" s="46" t="str">
        <x:f>IF(D589="","",MIN(1,I589/Configuracion!$B$11))</x:f>
      </x:c>
      <x:c r="K589" s="48" t="str">
        <x:f>IF(D589="","",MAX(0,(Configuracion!$B$11-I589)/G589))</x:f>
      </x:c>
      <x:c r="L589" s="73" t="str">
        <x:f>IF(D589="","",C589+K589*60)</x:f>
      </x:c>
      <x:c r="M589" t="str">
        <x:f>IF(D589="","",IF(J589&gt;=Configuracion!$B$13,"DESLIZAR",IF(J589&gt;=Configuracion!$B$12,"PREPARARSE","NO DESLIZAR")))</x:f>
      </x:c>
      <x:c r="N589" s="41" t="str">
        <x:f>IF(D589="","",D589-$D$8)</x:f>
      </x:c>
      <x:c r="O589" s="46" t="str">
        <x:f>IF(D589="","",MAX(0,MIN(1,N589/Configuracion!$B$10)))</x:f>
      </x:c>
    </x:row>
    <x:row r="590">
      <x:c r="A590" s="34"/>
      <x:c r="B590" s="36"/>
      <x:c r="C590" s="72"/>
      <x:c r="D590" s="71"/>
      <x:c r="E590" s="41" t="str">
        <x:f>IF(D590="","",D590+273.15)</x:f>
      </x:c>
      <x:c r="F590" s="44" t="str">
        <x:f>IF(OR(C590="",D590="",C589=""),"",(C590-C589)/60)</x:f>
      </x:c>
      <x:c r="G590" s="44" t="str">
        <x:f>IF(D590="","",EXP(-Configuracion!$B$4/Configuracion!$B$5*(1/AVERAGE(E589:E590)-1/(Configuracion!$B$3+273.15))))</x:f>
      </x:c>
      <x:c r="H590" s="44" t="str">
        <x:f>IF(D590="","",F590*G590)</x:f>
      </x:c>
      <x:c r="I590" s="44" t="str">
        <x:f>IF(D590="","",I589+H590)</x:f>
      </x:c>
      <x:c r="J590" s="46" t="str">
        <x:f>IF(D590="","",MIN(1,I590/Configuracion!$B$11))</x:f>
      </x:c>
      <x:c r="K590" s="48" t="str">
        <x:f>IF(D590="","",MAX(0,(Configuracion!$B$11-I590)/G590))</x:f>
      </x:c>
      <x:c r="L590" s="73" t="str">
        <x:f>IF(D590="","",C590+K590*60)</x:f>
      </x:c>
      <x:c r="M590" t="str">
        <x:f>IF(D590="","",IF(J590&gt;=Configuracion!$B$13,"DESLIZAR",IF(J590&gt;=Configuracion!$B$12,"PREPARARSE","NO DESLIZAR")))</x:f>
      </x:c>
      <x:c r="N590" s="41" t="str">
        <x:f>IF(D590="","",D590-$D$8)</x:f>
      </x:c>
      <x:c r="O590" s="46" t="str">
        <x:f>IF(D590="","",MAX(0,MIN(1,N590/Configuracion!$B$10)))</x:f>
      </x:c>
    </x:row>
    <x:row r="591">
      <x:c r="A591" s="34"/>
      <x:c r="B591" s="36"/>
      <x:c r="C591" s="72"/>
      <x:c r="D591" s="71"/>
      <x:c r="E591" s="41" t="str">
        <x:f>IF(D591="","",D591+273.15)</x:f>
      </x:c>
      <x:c r="F591" s="44" t="str">
        <x:f>IF(OR(C591="",D591="",C590=""),"",(C591-C590)/60)</x:f>
      </x:c>
      <x:c r="G591" s="44" t="str">
        <x:f>IF(D591="","",EXP(-Configuracion!$B$4/Configuracion!$B$5*(1/AVERAGE(E590:E591)-1/(Configuracion!$B$3+273.15))))</x:f>
      </x:c>
      <x:c r="H591" s="44" t="str">
        <x:f>IF(D591="","",F591*G591)</x:f>
      </x:c>
      <x:c r="I591" s="44" t="str">
        <x:f>IF(D591="","",I590+H591)</x:f>
      </x:c>
      <x:c r="J591" s="46" t="str">
        <x:f>IF(D591="","",MIN(1,I591/Configuracion!$B$11))</x:f>
      </x:c>
      <x:c r="K591" s="48" t="str">
        <x:f>IF(D591="","",MAX(0,(Configuracion!$B$11-I591)/G591))</x:f>
      </x:c>
      <x:c r="L591" s="73" t="str">
        <x:f>IF(D591="","",C591+K591*60)</x:f>
      </x:c>
      <x:c r="M591" t="str">
        <x:f>IF(D591="","",IF(J591&gt;=Configuracion!$B$13,"DESLIZAR",IF(J591&gt;=Configuracion!$B$12,"PREPARARSE","NO DESLIZAR")))</x:f>
      </x:c>
      <x:c r="N591" s="41" t="str">
        <x:f>IF(D591="","",D591-$D$8)</x:f>
      </x:c>
      <x:c r="O591" s="46" t="str">
        <x:f>IF(D591="","",MAX(0,MIN(1,N591/Configuracion!$B$10)))</x:f>
      </x:c>
    </x:row>
    <x:row r="592">
      <x:c r="A592" s="34"/>
      <x:c r="B592" s="36"/>
      <x:c r="C592" s="72"/>
      <x:c r="D592" s="71"/>
      <x:c r="E592" s="41" t="str">
        <x:f>IF(D592="","",D592+273.15)</x:f>
      </x:c>
      <x:c r="F592" s="44" t="str">
        <x:f>IF(OR(C592="",D592="",C591=""),"",(C592-C591)/60)</x:f>
      </x:c>
      <x:c r="G592" s="44" t="str">
        <x:f>IF(D592="","",EXP(-Configuracion!$B$4/Configuracion!$B$5*(1/AVERAGE(E591:E592)-1/(Configuracion!$B$3+273.15))))</x:f>
      </x:c>
      <x:c r="H592" s="44" t="str">
        <x:f>IF(D592="","",F592*G592)</x:f>
      </x:c>
      <x:c r="I592" s="44" t="str">
        <x:f>IF(D592="","",I591+H592)</x:f>
      </x:c>
      <x:c r="J592" s="46" t="str">
        <x:f>IF(D592="","",MIN(1,I592/Configuracion!$B$11))</x:f>
      </x:c>
      <x:c r="K592" s="48" t="str">
        <x:f>IF(D592="","",MAX(0,(Configuracion!$B$11-I592)/G592))</x:f>
      </x:c>
      <x:c r="L592" s="73" t="str">
        <x:f>IF(D592="","",C592+K592*60)</x:f>
      </x:c>
      <x:c r="M592" t="str">
        <x:f>IF(D592="","",IF(J592&gt;=Configuracion!$B$13,"DESLIZAR",IF(J592&gt;=Configuracion!$B$12,"PREPARARSE","NO DESLIZAR")))</x:f>
      </x:c>
      <x:c r="N592" s="41" t="str">
        <x:f>IF(D592="","",D592-$D$8)</x:f>
      </x:c>
      <x:c r="O592" s="46" t="str">
        <x:f>IF(D592="","",MAX(0,MIN(1,N592/Configuracion!$B$10)))</x:f>
      </x:c>
    </x:row>
    <x:row r="593">
      <x:c r="A593" s="34"/>
      <x:c r="B593" s="36"/>
      <x:c r="C593" s="72"/>
      <x:c r="D593" s="71"/>
      <x:c r="E593" s="41" t="str">
        <x:f>IF(D593="","",D593+273.15)</x:f>
      </x:c>
      <x:c r="F593" s="44" t="str">
        <x:f>IF(OR(C593="",D593="",C592=""),"",(C593-C592)/60)</x:f>
      </x:c>
      <x:c r="G593" s="44" t="str">
        <x:f>IF(D593="","",EXP(-Configuracion!$B$4/Configuracion!$B$5*(1/AVERAGE(E592:E593)-1/(Configuracion!$B$3+273.15))))</x:f>
      </x:c>
      <x:c r="H593" s="44" t="str">
        <x:f>IF(D593="","",F593*G593)</x:f>
      </x:c>
      <x:c r="I593" s="44" t="str">
        <x:f>IF(D593="","",I592+H593)</x:f>
      </x:c>
      <x:c r="J593" s="46" t="str">
        <x:f>IF(D593="","",MIN(1,I593/Configuracion!$B$11))</x:f>
      </x:c>
      <x:c r="K593" s="48" t="str">
        <x:f>IF(D593="","",MAX(0,(Configuracion!$B$11-I593)/G593))</x:f>
      </x:c>
      <x:c r="L593" s="73" t="str">
        <x:f>IF(D593="","",C593+K593*60)</x:f>
      </x:c>
      <x:c r="M593" t="str">
        <x:f>IF(D593="","",IF(J593&gt;=Configuracion!$B$13,"DESLIZAR",IF(J593&gt;=Configuracion!$B$12,"PREPARARSE","NO DESLIZAR")))</x:f>
      </x:c>
      <x:c r="N593" s="41" t="str">
        <x:f>IF(D593="","",D593-$D$8)</x:f>
      </x:c>
      <x:c r="O593" s="46" t="str">
        <x:f>IF(D593="","",MAX(0,MIN(1,N593/Configuracion!$B$10)))</x:f>
      </x:c>
    </x:row>
    <x:row r="594">
      <x:c r="A594" s="34"/>
      <x:c r="B594" s="36"/>
      <x:c r="C594" s="72"/>
      <x:c r="D594" s="71"/>
      <x:c r="E594" s="41" t="str">
        <x:f>IF(D594="","",D594+273.15)</x:f>
      </x:c>
      <x:c r="F594" s="44" t="str">
        <x:f>IF(OR(C594="",D594="",C593=""),"",(C594-C593)/60)</x:f>
      </x:c>
      <x:c r="G594" s="44" t="str">
        <x:f>IF(D594="","",EXP(-Configuracion!$B$4/Configuracion!$B$5*(1/AVERAGE(E593:E594)-1/(Configuracion!$B$3+273.15))))</x:f>
      </x:c>
      <x:c r="H594" s="44" t="str">
        <x:f>IF(D594="","",F594*G594)</x:f>
      </x:c>
      <x:c r="I594" s="44" t="str">
        <x:f>IF(D594="","",I593+H594)</x:f>
      </x:c>
      <x:c r="J594" s="46" t="str">
        <x:f>IF(D594="","",MIN(1,I594/Configuracion!$B$11))</x:f>
      </x:c>
      <x:c r="K594" s="48" t="str">
        <x:f>IF(D594="","",MAX(0,(Configuracion!$B$11-I594)/G594))</x:f>
      </x:c>
      <x:c r="L594" s="73" t="str">
        <x:f>IF(D594="","",C594+K594*60)</x:f>
      </x:c>
      <x:c r="M594" t="str">
        <x:f>IF(D594="","",IF(J594&gt;=Configuracion!$B$13,"DESLIZAR",IF(J594&gt;=Configuracion!$B$12,"PREPARARSE","NO DESLIZAR")))</x:f>
      </x:c>
      <x:c r="N594" s="41" t="str">
        <x:f>IF(D594="","",D594-$D$8)</x:f>
      </x:c>
      <x:c r="O594" s="46" t="str">
        <x:f>IF(D594="","",MAX(0,MIN(1,N594/Configuracion!$B$10)))</x:f>
      </x:c>
    </x:row>
    <x:row r="595">
      <x:c r="A595" s="34"/>
      <x:c r="B595" s="36"/>
      <x:c r="C595" s="72"/>
      <x:c r="D595" s="71"/>
      <x:c r="E595" s="41" t="str">
        <x:f>IF(D595="","",D595+273.15)</x:f>
      </x:c>
      <x:c r="F595" s="44" t="str">
        <x:f>IF(OR(C595="",D595="",C594=""),"",(C595-C594)/60)</x:f>
      </x:c>
      <x:c r="G595" s="44" t="str">
        <x:f>IF(D595="","",EXP(-Configuracion!$B$4/Configuracion!$B$5*(1/AVERAGE(E594:E595)-1/(Configuracion!$B$3+273.15))))</x:f>
      </x:c>
      <x:c r="H595" s="44" t="str">
        <x:f>IF(D595="","",F595*G595)</x:f>
      </x:c>
      <x:c r="I595" s="44" t="str">
        <x:f>IF(D595="","",I594+H595)</x:f>
      </x:c>
      <x:c r="J595" s="46" t="str">
        <x:f>IF(D595="","",MIN(1,I595/Configuracion!$B$11))</x:f>
      </x:c>
      <x:c r="K595" s="48" t="str">
        <x:f>IF(D595="","",MAX(0,(Configuracion!$B$11-I595)/G595))</x:f>
      </x:c>
      <x:c r="L595" s="73" t="str">
        <x:f>IF(D595="","",C595+K595*60)</x:f>
      </x:c>
      <x:c r="M595" t="str">
        <x:f>IF(D595="","",IF(J595&gt;=Configuracion!$B$13,"DESLIZAR",IF(J595&gt;=Configuracion!$B$12,"PREPARARSE","NO DESLIZAR")))</x:f>
      </x:c>
      <x:c r="N595" s="41" t="str">
        <x:f>IF(D595="","",D595-$D$8)</x:f>
      </x:c>
      <x:c r="O595" s="46" t="str">
        <x:f>IF(D595="","",MAX(0,MIN(1,N595/Configuracion!$B$10)))</x:f>
      </x:c>
    </x:row>
    <x:row r="596">
      <x:c r="A596" s="34"/>
      <x:c r="B596" s="36"/>
      <x:c r="C596" s="72"/>
      <x:c r="D596" s="71"/>
      <x:c r="E596" s="41" t="str">
        <x:f>IF(D596="","",D596+273.15)</x:f>
      </x:c>
      <x:c r="F596" s="44" t="str">
        <x:f>IF(OR(C596="",D596="",C595=""),"",(C596-C595)/60)</x:f>
      </x:c>
      <x:c r="G596" s="44" t="str">
        <x:f>IF(D596="","",EXP(-Configuracion!$B$4/Configuracion!$B$5*(1/AVERAGE(E595:E596)-1/(Configuracion!$B$3+273.15))))</x:f>
      </x:c>
      <x:c r="H596" s="44" t="str">
        <x:f>IF(D596="","",F596*G596)</x:f>
      </x:c>
      <x:c r="I596" s="44" t="str">
        <x:f>IF(D596="","",I595+H596)</x:f>
      </x:c>
      <x:c r="J596" s="46" t="str">
        <x:f>IF(D596="","",MIN(1,I596/Configuracion!$B$11))</x:f>
      </x:c>
      <x:c r="K596" s="48" t="str">
        <x:f>IF(D596="","",MAX(0,(Configuracion!$B$11-I596)/G596))</x:f>
      </x:c>
      <x:c r="L596" s="73" t="str">
        <x:f>IF(D596="","",C596+K596*60)</x:f>
      </x:c>
      <x:c r="M596" t="str">
        <x:f>IF(D596="","",IF(J596&gt;=Configuracion!$B$13,"DESLIZAR",IF(J596&gt;=Configuracion!$B$12,"PREPARARSE","NO DESLIZAR")))</x:f>
      </x:c>
      <x:c r="N596" s="41" t="str">
        <x:f>IF(D596="","",D596-$D$8)</x:f>
      </x:c>
      <x:c r="O596" s="46" t="str">
        <x:f>IF(D596="","",MAX(0,MIN(1,N596/Configuracion!$B$10)))</x:f>
      </x:c>
    </x:row>
    <x:row r="597">
      <x:c r="A597" s="34"/>
      <x:c r="B597" s="36"/>
      <x:c r="C597" s="72"/>
      <x:c r="D597" s="71"/>
      <x:c r="E597" s="41" t="str">
        <x:f>IF(D597="","",D597+273.15)</x:f>
      </x:c>
      <x:c r="F597" s="44" t="str">
        <x:f>IF(OR(C597="",D597="",C596=""),"",(C597-C596)/60)</x:f>
      </x:c>
      <x:c r="G597" s="44" t="str">
        <x:f>IF(D597="","",EXP(-Configuracion!$B$4/Configuracion!$B$5*(1/AVERAGE(E596:E597)-1/(Configuracion!$B$3+273.15))))</x:f>
      </x:c>
      <x:c r="H597" s="44" t="str">
        <x:f>IF(D597="","",F597*G597)</x:f>
      </x:c>
      <x:c r="I597" s="44" t="str">
        <x:f>IF(D597="","",I596+H597)</x:f>
      </x:c>
      <x:c r="J597" s="46" t="str">
        <x:f>IF(D597="","",MIN(1,I597/Configuracion!$B$11))</x:f>
      </x:c>
      <x:c r="K597" s="48" t="str">
        <x:f>IF(D597="","",MAX(0,(Configuracion!$B$11-I597)/G597))</x:f>
      </x:c>
      <x:c r="L597" s="73" t="str">
        <x:f>IF(D597="","",C597+K597*60)</x:f>
      </x:c>
      <x:c r="M597" t="str">
        <x:f>IF(D597="","",IF(J597&gt;=Configuracion!$B$13,"DESLIZAR",IF(J597&gt;=Configuracion!$B$12,"PREPARARSE","NO DESLIZAR")))</x:f>
      </x:c>
      <x:c r="N597" s="41" t="str">
        <x:f>IF(D597="","",D597-$D$8)</x:f>
      </x:c>
      <x:c r="O597" s="46" t="str">
        <x:f>IF(D597="","",MAX(0,MIN(1,N597/Configuracion!$B$10)))</x:f>
      </x:c>
    </x:row>
    <x:row r="598">
      <x:c r="A598" s="34"/>
      <x:c r="B598" s="36"/>
      <x:c r="C598" s="72"/>
      <x:c r="D598" s="71"/>
      <x:c r="E598" s="41" t="str">
        <x:f>IF(D598="","",D598+273.15)</x:f>
      </x:c>
      <x:c r="F598" s="44" t="str">
        <x:f>IF(OR(C598="",D598="",C597=""),"",(C598-C597)/60)</x:f>
      </x:c>
      <x:c r="G598" s="44" t="str">
        <x:f>IF(D598="","",EXP(-Configuracion!$B$4/Configuracion!$B$5*(1/AVERAGE(E597:E598)-1/(Configuracion!$B$3+273.15))))</x:f>
      </x:c>
      <x:c r="H598" s="44" t="str">
        <x:f>IF(D598="","",F598*G598)</x:f>
      </x:c>
      <x:c r="I598" s="44" t="str">
        <x:f>IF(D598="","",I597+H598)</x:f>
      </x:c>
      <x:c r="J598" s="46" t="str">
        <x:f>IF(D598="","",MIN(1,I598/Configuracion!$B$11))</x:f>
      </x:c>
      <x:c r="K598" s="48" t="str">
        <x:f>IF(D598="","",MAX(0,(Configuracion!$B$11-I598)/G598))</x:f>
      </x:c>
      <x:c r="L598" s="73" t="str">
        <x:f>IF(D598="","",C598+K598*60)</x:f>
      </x:c>
      <x:c r="M598" t="str">
        <x:f>IF(D598="","",IF(J598&gt;=Configuracion!$B$13,"DESLIZAR",IF(J598&gt;=Configuracion!$B$12,"PREPARARSE","NO DESLIZAR")))</x:f>
      </x:c>
      <x:c r="N598" s="41" t="str">
        <x:f>IF(D598="","",D598-$D$8)</x:f>
      </x:c>
      <x:c r="O598" s="46" t="str">
        <x:f>IF(D598="","",MAX(0,MIN(1,N598/Configuracion!$B$10)))</x:f>
      </x:c>
    </x:row>
    <x:row r="599">
      <x:c r="A599" s="34"/>
      <x:c r="B599" s="36"/>
      <x:c r="C599" s="72"/>
      <x:c r="D599" s="71"/>
      <x:c r="E599" s="41" t="str">
        <x:f>IF(D599="","",D599+273.15)</x:f>
      </x:c>
      <x:c r="F599" s="44" t="str">
        <x:f>IF(OR(C599="",D599="",C598=""),"",(C599-C598)/60)</x:f>
      </x:c>
      <x:c r="G599" s="44" t="str">
        <x:f>IF(D599="","",EXP(-Configuracion!$B$4/Configuracion!$B$5*(1/AVERAGE(E598:E599)-1/(Configuracion!$B$3+273.15))))</x:f>
      </x:c>
      <x:c r="H599" s="44" t="str">
        <x:f>IF(D599="","",F599*G599)</x:f>
      </x:c>
      <x:c r="I599" s="44" t="str">
        <x:f>IF(D599="","",I598+H599)</x:f>
      </x:c>
      <x:c r="J599" s="46" t="str">
        <x:f>IF(D599="","",MIN(1,I599/Configuracion!$B$11))</x:f>
      </x:c>
      <x:c r="K599" s="48" t="str">
        <x:f>IF(D599="","",MAX(0,(Configuracion!$B$11-I599)/G599))</x:f>
      </x:c>
      <x:c r="L599" s="73" t="str">
        <x:f>IF(D599="","",C599+K599*60)</x:f>
      </x:c>
      <x:c r="M599" t="str">
        <x:f>IF(D599="","",IF(J599&gt;=Configuracion!$B$13,"DESLIZAR",IF(J599&gt;=Configuracion!$B$12,"PREPARARSE","NO DESLIZAR")))</x:f>
      </x:c>
      <x:c r="N599" s="41" t="str">
        <x:f>IF(D599="","",D599-$D$8)</x:f>
      </x:c>
      <x:c r="O599" s="46" t="str">
        <x:f>IF(D599="","",MAX(0,MIN(1,N599/Configuracion!$B$10)))</x:f>
      </x:c>
    </x:row>
    <x:row r="600">
      <x:c r="A600" s="34"/>
      <x:c r="B600" s="36"/>
      <x:c r="C600" s="72"/>
      <x:c r="D600" s="71"/>
      <x:c r="E600" s="41" t="str">
        <x:f>IF(D600="","",D600+273.15)</x:f>
      </x:c>
      <x:c r="F600" s="44" t="str">
        <x:f>IF(OR(C600="",D600="",C599=""),"",(C600-C599)/60)</x:f>
      </x:c>
      <x:c r="G600" s="44" t="str">
        <x:f>IF(D600="","",EXP(-Configuracion!$B$4/Configuracion!$B$5*(1/AVERAGE(E599:E600)-1/(Configuracion!$B$3+273.15))))</x:f>
      </x:c>
      <x:c r="H600" s="44" t="str">
        <x:f>IF(D600="","",F600*G600)</x:f>
      </x:c>
      <x:c r="I600" s="44" t="str">
        <x:f>IF(D600="","",I599+H600)</x:f>
      </x:c>
      <x:c r="J600" s="46" t="str">
        <x:f>IF(D600="","",MIN(1,I600/Configuracion!$B$11))</x:f>
      </x:c>
      <x:c r="K600" s="48" t="str">
        <x:f>IF(D600="","",MAX(0,(Configuracion!$B$11-I600)/G600))</x:f>
      </x:c>
      <x:c r="L600" s="73" t="str">
        <x:f>IF(D600="","",C600+K600*60)</x:f>
      </x:c>
      <x:c r="M600" t="str">
        <x:f>IF(D600="","",IF(J600&gt;=Configuracion!$B$13,"DESLIZAR",IF(J600&gt;=Configuracion!$B$12,"PREPARARSE","NO DESLIZAR")))</x:f>
      </x:c>
      <x:c r="N600" s="41" t="str">
        <x:f>IF(D600="","",D600-$D$8)</x:f>
      </x:c>
      <x:c r="O600" s="46" t="str">
        <x:f>IF(D600="","",MAX(0,MIN(1,N600/Configuracion!$B$10)))</x:f>
      </x:c>
    </x:row>
    <x:row r="601">
      <x:c r="A601" s="34"/>
      <x:c r="B601" s="36"/>
      <x:c r="C601" s="72"/>
      <x:c r="D601" s="71"/>
      <x:c r="E601" s="41" t="str">
        <x:f>IF(D601="","",D601+273.15)</x:f>
      </x:c>
      <x:c r="F601" s="44" t="str">
        <x:f>IF(OR(C601="",D601="",C600=""),"",(C601-C600)/60)</x:f>
      </x:c>
      <x:c r="G601" s="44" t="str">
        <x:f>IF(D601="","",EXP(-Configuracion!$B$4/Configuracion!$B$5*(1/AVERAGE(E600:E601)-1/(Configuracion!$B$3+273.15))))</x:f>
      </x:c>
      <x:c r="H601" s="44" t="str">
        <x:f>IF(D601="","",F601*G601)</x:f>
      </x:c>
      <x:c r="I601" s="44" t="str">
        <x:f>IF(D601="","",I600+H601)</x:f>
      </x:c>
      <x:c r="J601" s="46" t="str">
        <x:f>IF(D601="","",MIN(1,I601/Configuracion!$B$11))</x:f>
      </x:c>
      <x:c r="K601" s="48" t="str">
        <x:f>IF(D601="","",MAX(0,(Configuracion!$B$11-I601)/G601))</x:f>
      </x:c>
      <x:c r="L601" s="73" t="str">
        <x:f>IF(D601="","",C601+K601*60)</x:f>
      </x:c>
      <x:c r="M601" t="str">
        <x:f>IF(D601="","",IF(J601&gt;=Configuracion!$B$13,"DESLIZAR",IF(J601&gt;=Configuracion!$B$12,"PREPARARSE","NO DESLIZAR")))</x:f>
      </x:c>
      <x:c r="N601" s="41" t="str">
        <x:f>IF(D601="","",D601-$D$8)</x:f>
      </x:c>
      <x:c r="O601" s="46" t="str">
        <x:f>IF(D601="","",MAX(0,MIN(1,N601/Configuracion!$B$10)))</x:f>
      </x:c>
    </x:row>
    <x:row r="602">
      <x:c r="A602" s="34"/>
      <x:c r="B602" s="36"/>
      <x:c r="C602" s="72"/>
      <x:c r="D602" s="71"/>
      <x:c r="E602" s="41" t="str">
        <x:f>IF(D602="","",D602+273.15)</x:f>
      </x:c>
      <x:c r="F602" s="44" t="str">
        <x:f>IF(OR(C602="",D602="",C601=""),"",(C602-C601)/60)</x:f>
      </x:c>
      <x:c r="G602" s="44" t="str">
        <x:f>IF(D602="","",EXP(-Configuracion!$B$4/Configuracion!$B$5*(1/AVERAGE(E601:E602)-1/(Configuracion!$B$3+273.15))))</x:f>
      </x:c>
      <x:c r="H602" s="44" t="str">
        <x:f>IF(D602="","",F602*G602)</x:f>
      </x:c>
      <x:c r="I602" s="44" t="str">
        <x:f>IF(D602="","",I601+H602)</x:f>
      </x:c>
      <x:c r="J602" s="46" t="str">
        <x:f>IF(D602="","",MIN(1,I602/Configuracion!$B$11))</x:f>
      </x:c>
      <x:c r="K602" s="48" t="str">
        <x:f>IF(D602="","",MAX(0,(Configuracion!$B$11-I602)/G602))</x:f>
      </x:c>
      <x:c r="L602" s="73" t="str">
        <x:f>IF(D602="","",C602+K602*60)</x:f>
      </x:c>
      <x:c r="M602" t="str">
        <x:f>IF(D602="","",IF(J602&gt;=Configuracion!$B$13,"DESLIZAR",IF(J602&gt;=Configuracion!$B$12,"PREPARARSE","NO DESLIZAR")))</x:f>
      </x:c>
      <x:c r="N602" s="41" t="str">
        <x:f>IF(D602="","",D602-$D$8)</x:f>
      </x:c>
      <x:c r="O602" s="46" t="str">
        <x:f>IF(D602="","",MAX(0,MIN(1,N602/Configuracion!$B$10)))</x:f>
      </x:c>
    </x:row>
    <x:row r="603">
      <x:c r="A603" s="34"/>
      <x:c r="B603" s="36"/>
      <x:c r="C603" s="72"/>
      <x:c r="D603" s="71"/>
      <x:c r="E603" s="41" t="str">
        <x:f>IF(D603="","",D603+273.15)</x:f>
      </x:c>
      <x:c r="F603" s="44" t="str">
        <x:f>IF(OR(C603="",D603="",C602=""),"",(C603-C602)/60)</x:f>
      </x:c>
      <x:c r="G603" s="44" t="str">
        <x:f>IF(D603="","",EXP(-Configuracion!$B$4/Configuracion!$B$5*(1/AVERAGE(E602:E603)-1/(Configuracion!$B$3+273.15))))</x:f>
      </x:c>
      <x:c r="H603" s="44" t="str">
        <x:f>IF(D603="","",F603*G603)</x:f>
      </x:c>
      <x:c r="I603" s="44" t="str">
        <x:f>IF(D603="","",I602+H603)</x:f>
      </x:c>
      <x:c r="J603" s="46" t="str">
        <x:f>IF(D603="","",MIN(1,I603/Configuracion!$B$11))</x:f>
      </x:c>
      <x:c r="K603" s="48" t="str">
        <x:f>IF(D603="","",MAX(0,(Configuracion!$B$11-I603)/G603))</x:f>
      </x:c>
      <x:c r="L603" s="73" t="str">
        <x:f>IF(D603="","",C603+K603*60)</x:f>
      </x:c>
      <x:c r="M603" t="str">
        <x:f>IF(D603="","",IF(J603&gt;=Configuracion!$B$13,"DESLIZAR",IF(J603&gt;=Configuracion!$B$12,"PREPARARSE","NO DESLIZAR")))</x:f>
      </x:c>
      <x:c r="N603" s="41" t="str">
        <x:f>IF(D603="","",D603-$D$8)</x:f>
      </x:c>
      <x:c r="O603" s="46" t="str">
        <x:f>IF(D603="","",MAX(0,MIN(1,N603/Configuracion!$B$10)))</x:f>
      </x:c>
    </x:row>
    <x:row r="604">
      <x:c r="A604" s="34"/>
      <x:c r="B604" s="36"/>
      <x:c r="C604" s="72"/>
      <x:c r="D604" s="71"/>
      <x:c r="E604" s="41" t="str">
        <x:f>IF(D604="","",D604+273.15)</x:f>
      </x:c>
      <x:c r="F604" s="44" t="str">
        <x:f>IF(OR(C604="",D604="",C603=""),"",(C604-C603)/60)</x:f>
      </x:c>
      <x:c r="G604" s="44" t="str">
        <x:f>IF(D604="","",EXP(-Configuracion!$B$4/Configuracion!$B$5*(1/AVERAGE(E603:E604)-1/(Configuracion!$B$3+273.15))))</x:f>
      </x:c>
      <x:c r="H604" s="44" t="str">
        <x:f>IF(D604="","",F604*G604)</x:f>
      </x:c>
      <x:c r="I604" s="44" t="str">
        <x:f>IF(D604="","",I603+H604)</x:f>
      </x:c>
      <x:c r="J604" s="46" t="str">
        <x:f>IF(D604="","",MIN(1,I604/Configuracion!$B$11))</x:f>
      </x:c>
      <x:c r="K604" s="48" t="str">
        <x:f>IF(D604="","",MAX(0,(Configuracion!$B$11-I604)/G604))</x:f>
      </x:c>
      <x:c r="L604" s="73" t="str">
        <x:f>IF(D604="","",C604+K604*60)</x:f>
      </x:c>
      <x:c r="M604" t="str">
        <x:f>IF(D604="","",IF(J604&gt;=Configuracion!$B$13,"DESLIZAR",IF(J604&gt;=Configuracion!$B$12,"PREPARARSE","NO DESLIZAR")))</x:f>
      </x:c>
      <x:c r="N604" s="41" t="str">
        <x:f>IF(D604="","",D604-$D$8)</x:f>
      </x:c>
      <x:c r="O604" s="46" t="str">
        <x:f>IF(D604="","",MAX(0,MIN(1,N604/Configuracion!$B$10)))</x:f>
      </x:c>
    </x:row>
    <x:row r="605">
      <x:c r="A605" s="34"/>
      <x:c r="B605" s="36"/>
      <x:c r="C605" s="72"/>
      <x:c r="D605" s="71"/>
      <x:c r="E605" s="41" t="str">
        <x:f>IF(D605="","",D605+273.15)</x:f>
      </x:c>
      <x:c r="F605" s="44" t="str">
        <x:f>IF(OR(C605="",D605="",C604=""),"",(C605-C604)/60)</x:f>
      </x:c>
      <x:c r="G605" s="44" t="str">
        <x:f>IF(D605="","",EXP(-Configuracion!$B$4/Configuracion!$B$5*(1/AVERAGE(E604:E605)-1/(Configuracion!$B$3+273.15))))</x:f>
      </x:c>
      <x:c r="H605" s="44" t="str">
        <x:f>IF(D605="","",F605*G605)</x:f>
      </x:c>
      <x:c r="I605" s="44" t="str">
        <x:f>IF(D605="","",I604+H605)</x:f>
      </x:c>
      <x:c r="J605" s="46" t="str">
        <x:f>IF(D605="","",MIN(1,I605/Configuracion!$B$11))</x:f>
      </x:c>
      <x:c r="K605" s="48" t="str">
        <x:f>IF(D605="","",MAX(0,(Configuracion!$B$11-I605)/G605))</x:f>
      </x:c>
      <x:c r="L605" s="73" t="str">
        <x:f>IF(D605="","",C605+K605*60)</x:f>
      </x:c>
      <x:c r="M605" t="str">
        <x:f>IF(D605="","",IF(J605&gt;=Configuracion!$B$13,"DESLIZAR",IF(J605&gt;=Configuracion!$B$12,"PREPARARSE","NO DESLIZAR")))</x:f>
      </x:c>
      <x:c r="N605" s="41" t="str">
        <x:f>IF(D605="","",D605-$D$8)</x:f>
      </x:c>
      <x:c r="O605" s="46" t="str">
        <x:f>IF(D605="","",MAX(0,MIN(1,N605/Configuracion!$B$10)))</x:f>
      </x:c>
    </x:row>
    <x:row r="606">
      <x:c r="A606" s="34"/>
      <x:c r="B606" s="36"/>
      <x:c r="C606" s="72"/>
      <x:c r="D606" s="71"/>
      <x:c r="E606" s="41" t="str">
        <x:f>IF(D606="","",D606+273.15)</x:f>
      </x:c>
      <x:c r="F606" s="44" t="str">
        <x:f>IF(OR(C606="",D606="",C605=""),"",(C606-C605)/60)</x:f>
      </x:c>
      <x:c r="G606" s="44" t="str">
        <x:f>IF(D606="","",EXP(-Configuracion!$B$4/Configuracion!$B$5*(1/AVERAGE(E605:E606)-1/(Configuracion!$B$3+273.15))))</x:f>
      </x:c>
      <x:c r="H606" s="44" t="str">
        <x:f>IF(D606="","",F606*G606)</x:f>
      </x:c>
      <x:c r="I606" s="44" t="str">
        <x:f>IF(D606="","",I605+H606)</x:f>
      </x:c>
      <x:c r="J606" s="46" t="str">
        <x:f>IF(D606="","",MIN(1,I606/Configuracion!$B$11))</x:f>
      </x:c>
      <x:c r="K606" s="48" t="str">
        <x:f>IF(D606="","",MAX(0,(Configuracion!$B$11-I606)/G606))</x:f>
      </x:c>
      <x:c r="L606" s="73" t="str">
        <x:f>IF(D606="","",C606+K606*60)</x:f>
      </x:c>
      <x:c r="M606" t="str">
        <x:f>IF(D606="","",IF(J606&gt;=Configuracion!$B$13,"DESLIZAR",IF(J606&gt;=Configuracion!$B$12,"PREPARARSE","NO DESLIZAR")))</x:f>
      </x:c>
      <x:c r="N606" s="41" t="str">
        <x:f>IF(D606="","",D606-$D$8)</x:f>
      </x:c>
      <x:c r="O606" s="46" t="str">
        <x:f>IF(D606="","",MAX(0,MIN(1,N606/Configuracion!$B$10)))</x:f>
      </x:c>
    </x:row>
    <x:row r="607">
      <x:c r="A607" s="34"/>
      <x:c r="B607" s="36"/>
      <x:c r="C607" s="72"/>
      <x:c r="D607" s="71"/>
      <x:c r="E607" s="41" t="str">
        <x:f>IF(D607="","",D607+273.15)</x:f>
      </x:c>
      <x:c r="F607" s="44" t="str">
        <x:f>IF(OR(C607="",D607="",C606=""),"",(C607-C606)/60)</x:f>
      </x:c>
      <x:c r="G607" s="44" t="str">
        <x:f>IF(D607="","",EXP(-Configuracion!$B$4/Configuracion!$B$5*(1/AVERAGE(E606:E607)-1/(Configuracion!$B$3+273.15))))</x:f>
      </x:c>
      <x:c r="H607" s="44" t="str">
        <x:f>IF(D607="","",F607*G607)</x:f>
      </x:c>
      <x:c r="I607" s="44" t="str">
        <x:f>IF(D607="","",I606+H607)</x:f>
      </x:c>
      <x:c r="J607" s="46" t="str">
        <x:f>IF(D607="","",MIN(1,I607/Configuracion!$B$11))</x:f>
      </x:c>
      <x:c r="K607" s="48" t="str">
        <x:f>IF(D607="","",MAX(0,(Configuracion!$B$11-I607)/G607))</x:f>
      </x:c>
      <x:c r="L607" s="73" t="str">
        <x:f>IF(D607="","",C607+K607*60)</x:f>
      </x:c>
      <x:c r="M607" t="str">
        <x:f>IF(D607="","",IF(J607&gt;=Configuracion!$B$13,"DESLIZAR",IF(J607&gt;=Configuracion!$B$12,"PREPARARSE","NO DESLIZAR")))</x:f>
      </x:c>
      <x:c r="N607" s="41" t="str">
        <x:f>IF(D607="","",D607-$D$8)</x:f>
      </x:c>
      <x:c r="O607" s="46" t="str">
        <x:f>IF(D607="","",MAX(0,MIN(1,N607/Configuracion!$B$10)))</x:f>
      </x:c>
    </x:row>
    <x:row r="608">
      <x:c r="A608" s="34"/>
      <x:c r="B608" s="36"/>
      <x:c r="C608" s="72"/>
      <x:c r="D608" s="71"/>
      <x:c r="E608" s="41" t="str">
        <x:f>IF(D608="","",D608+273.15)</x:f>
      </x:c>
      <x:c r="F608" s="44" t="str">
        <x:f>IF(OR(C608="",D608="",C607=""),"",(C608-C607)/60)</x:f>
      </x:c>
      <x:c r="G608" s="44" t="str">
        <x:f>IF(D608="","",EXP(-Configuracion!$B$4/Configuracion!$B$5*(1/AVERAGE(E607:E608)-1/(Configuracion!$B$3+273.15))))</x:f>
      </x:c>
      <x:c r="H608" s="44" t="str">
        <x:f>IF(D608="","",F608*G608)</x:f>
      </x:c>
      <x:c r="I608" s="44" t="str">
        <x:f>IF(D608="","",I607+H608)</x:f>
      </x:c>
      <x:c r="J608" s="46" t="str">
        <x:f>IF(D608="","",MIN(1,I608/Configuracion!$B$11))</x:f>
      </x:c>
      <x:c r="K608" s="48" t="str">
        <x:f>IF(D608="","",MAX(0,(Configuracion!$B$11-I608)/G608))</x:f>
      </x:c>
      <x:c r="L608" s="73" t="str">
        <x:f>IF(D608="","",C608+K608*60)</x:f>
      </x:c>
      <x:c r="M608" t="str">
        <x:f>IF(D608="","",IF(J608&gt;=Configuracion!$B$13,"DESLIZAR",IF(J608&gt;=Configuracion!$B$12,"PREPARARSE","NO DESLIZAR")))</x:f>
      </x:c>
      <x:c r="N608" s="41" t="str">
        <x:f>IF(D608="","",D608-$D$8)</x:f>
      </x:c>
      <x:c r="O608" s="46" t="str">
        <x:f>IF(D608="","",MAX(0,MIN(1,N608/Configuracion!$B$10)))</x:f>
      </x:c>
    </x:row>
    <x:row r="609">
      <x:c r="A609" s="34"/>
      <x:c r="B609" s="36"/>
      <x:c r="C609" s="72"/>
      <x:c r="D609" s="71"/>
      <x:c r="E609" s="41" t="str">
        <x:f>IF(D609="","",D609+273.15)</x:f>
      </x:c>
      <x:c r="F609" s="44" t="str">
        <x:f>IF(OR(C609="",D609="",C608=""),"",(C609-C608)/60)</x:f>
      </x:c>
      <x:c r="G609" s="44" t="str">
        <x:f>IF(D609="","",EXP(-Configuracion!$B$4/Configuracion!$B$5*(1/AVERAGE(E608:E609)-1/(Configuracion!$B$3+273.15))))</x:f>
      </x:c>
      <x:c r="H609" s="44" t="str">
        <x:f>IF(D609="","",F609*G609)</x:f>
      </x:c>
      <x:c r="I609" s="44" t="str">
        <x:f>IF(D609="","",I608+H609)</x:f>
      </x:c>
      <x:c r="J609" s="46" t="str">
        <x:f>IF(D609="","",MIN(1,I609/Configuracion!$B$11))</x:f>
      </x:c>
      <x:c r="K609" s="48" t="str">
        <x:f>IF(D609="","",MAX(0,(Configuracion!$B$11-I609)/G609))</x:f>
      </x:c>
      <x:c r="L609" s="73" t="str">
        <x:f>IF(D609="","",C609+K609*60)</x:f>
      </x:c>
      <x:c r="M609" t="str">
        <x:f>IF(D609="","",IF(J609&gt;=Configuracion!$B$13,"DESLIZAR",IF(J609&gt;=Configuracion!$B$12,"PREPARARSE","NO DESLIZAR")))</x:f>
      </x:c>
      <x:c r="N609" s="41" t="str">
        <x:f>IF(D609="","",D609-$D$8)</x:f>
      </x:c>
      <x:c r="O609" s="46" t="str">
        <x:f>IF(D609="","",MAX(0,MIN(1,N609/Configuracion!$B$10)))</x:f>
      </x:c>
    </x:row>
    <x:row r="610">
      <x:c r="A610" s="34"/>
      <x:c r="B610" s="36"/>
      <x:c r="C610" s="72"/>
      <x:c r="D610" s="71"/>
      <x:c r="E610" s="41" t="str">
        <x:f>IF(D610="","",D610+273.15)</x:f>
      </x:c>
      <x:c r="F610" s="44" t="str">
        <x:f>IF(OR(C610="",D610="",C609=""),"",(C610-C609)/60)</x:f>
      </x:c>
      <x:c r="G610" s="44" t="str">
        <x:f>IF(D610="","",EXP(-Configuracion!$B$4/Configuracion!$B$5*(1/AVERAGE(E609:E610)-1/(Configuracion!$B$3+273.15))))</x:f>
      </x:c>
      <x:c r="H610" s="44" t="str">
        <x:f>IF(D610="","",F610*G610)</x:f>
      </x:c>
      <x:c r="I610" s="44" t="str">
        <x:f>IF(D610="","",I609+H610)</x:f>
      </x:c>
      <x:c r="J610" s="46" t="str">
        <x:f>IF(D610="","",MIN(1,I610/Configuracion!$B$11))</x:f>
      </x:c>
      <x:c r="K610" s="48" t="str">
        <x:f>IF(D610="","",MAX(0,(Configuracion!$B$11-I610)/G610))</x:f>
      </x:c>
      <x:c r="L610" s="73" t="str">
        <x:f>IF(D610="","",C610+K610*60)</x:f>
      </x:c>
      <x:c r="M610" t="str">
        <x:f>IF(D610="","",IF(J610&gt;=Configuracion!$B$13,"DESLIZAR",IF(J610&gt;=Configuracion!$B$12,"PREPARARSE","NO DESLIZAR")))</x:f>
      </x:c>
      <x:c r="N610" s="41" t="str">
        <x:f>IF(D610="","",D610-$D$8)</x:f>
      </x:c>
      <x:c r="O610" s="46" t="str">
        <x:f>IF(D610="","",MAX(0,MIN(1,N610/Configuracion!$B$10)))</x:f>
      </x:c>
    </x:row>
    <x:row r="611">
      <x:c r="A611" s="34"/>
      <x:c r="B611" s="36"/>
      <x:c r="C611" s="72"/>
      <x:c r="D611" s="71"/>
      <x:c r="E611" s="41" t="str">
        <x:f>IF(D611="","",D611+273.15)</x:f>
      </x:c>
      <x:c r="F611" s="44" t="str">
        <x:f>IF(OR(C611="",D611="",C610=""),"",(C611-C610)/60)</x:f>
      </x:c>
      <x:c r="G611" s="44" t="str">
        <x:f>IF(D611="","",EXP(-Configuracion!$B$4/Configuracion!$B$5*(1/AVERAGE(E610:E611)-1/(Configuracion!$B$3+273.15))))</x:f>
      </x:c>
      <x:c r="H611" s="44" t="str">
        <x:f>IF(D611="","",F611*G611)</x:f>
      </x:c>
      <x:c r="I611" s="44" t="str">
        <x:f>IF(D611="","",I610+H611)</x:f>
      </x:c>
      <x:c r="J611" s="46" t="str">
        <x:f>IF(D611="","",MIN(1,I611/Configuracion!$B$11))</x:f>
      </x:c>
      <x:c r="K611" s="48" t="str">
        <x:f>IF(D611="","",MAX(0,(Configuracion!$B$11-I611)/G611))</x:f>
      </x:c>
      <x:c r="L611" s="73" t="str">
        <x:f>IF(D611="","",C611+K611*60)</x:f>
      </x:c>
      <x:c r="M611" t="str">
        <x:f>IF(D611="","",IF(J611&gt;=Configuracion!$B$13,"DESLIZAR",IF(J611&gt;=Configuracion!$B$12,"PREPARARSE","NO DESLIZAR")))</x:f>
      </x:c>
      <x:c r="N611" s="41" t="str">
        <x:f>IF(D611="","",D611-$D$8)</x:f>
      </x:c>
      <x:c r="O611" s="46" t="str">
        <x:f>IF(D611="","",MAX(0,MIN(1,N611/Configuracion!$B$10)))</x:f>
      </x:c>
    </x:row>
    <x:row r="612">
      <x:c r="A612" s="34"/>
      <x:c r="B612" s="36"/>
      <x:c r="C612" s="72"/>
      <x:c r="D612" s="71"/>
      <x:c r="E612" s="41" t="str">
        <x:f>IF(D612="","",D612+273.15)</x:f>
      </x:c>
      <x:c r="F612" s="44" t="str">
        <x:f>IF(OR(C612="",D612="",C611=""),"",(C612-C611)/60)</x:f>
      </x:c>
      <x:c r="G612" s="44" t="str">
        <x:f>IF(D612="","",EXP(-Configuracion!$B$4/Configuracion!$B$5*(1/AVERAGE(E611:E612)-1/(Configuracion!$B$3+273.15))))</x:f>
      </x:c>
      <x:c r="H612" s="44" t="str">
        <x:f>IF(D612="","",F612*G612)</x:f>
      </x:c>
      <x:c r="I612" s="44" t="str">
        <x:f>IF(D612="","",I611+H612)</x:f>
      </x:c>
      <x:c r="J612" s="46" t="str">
        <x:f>IF(D612="","",MIN(1,I612/Configuracion!$B$11))</x:f>
      </x:c>
      <x:c r="K612" s="48" t="str">
        <x:f>IF(D612="","",MAX(0,(Configuracion!$B$11-I612)/G612))</x:f>
      </x:c>
      <x:c r="L612" s="73" t="str">
        <x:f>IF(D612="","",C612+K612*60)</x:f>
      </x:c>
      <x:c r="M612" t="str">
        <x:f>IF(D612="","",IF(J612&gt;=Configuracion!$B$13,"DESLIZAR",IF(J612&gt;=Configuracion!$B$12,"PREPARARSE","NO DESLIZAR")))</x:f>
      </x:c>
      <x:c r="N612" s="41" t="str">
        <x:f>IF(D612="","",D612-$D$8)</x:f>
      </x:c>
      <x:c r="O612" s="46" t="str">
        <x:f>IF(D612="","",MAX(0,MIN(1,N612/Configuracion!$B$10)))</x:f>
      </x:c>
    </x:row>
    <x:row r="613">
      <x:c r="A613" s="34"/>
      <x:c r="B613" s="36"/>
      <x:c r="C613" s="72"/>
      <x:c r="D613" s="71"/>
      <x:c r="E613" s="41" t="str">
        <x:f>IF(D613="","",D613+273.15)</x:f>
      </x:c>
      <x:c r="F613" s="44" t="str">
        <x:f>IF(OR(C613="",D613="",C612=""),"",(C613-C612)/60)</x:f>
      </x:c>
      <x:c r="G613" s="44" t="str">
        <x:f>IF(D613="","",EXP(-Configuracion!$B$4/Configuracion!$B$5*(1/AVERAGE(E612:E613)-1/(Configuracion!$B$3+273.15))))</x:f>
      </x:c>
      <x:c r="H613" s="44" t="str">
        <x:f>IF(D613="","",F613*G613)</x:f>
      </x:c>
      <x:c r="I613" s="44" t="str">
        <x:f>IF(D613="","",I612+H613)</x:f>
      </x:c>
      <x:c r="J613" s="46" t="str">
        <x:f>IF(D613="","",MIN(1,I613/Configuracion!$B$11))</x:f>
      </x:c>
      <x:c r="K613" s="48" t="str">
        <x:f>IF(D613="","",MAX(0,(Configuracion!$B$11-I613)/G613))</x:f>
      </x:c>
      <x:c r="L613" s="73" t="str">
        <x:f>IF(D613="","",C613+K613*60)</x:f>
      </x:c>
      <x:c r="M613" t="str">
        <x:f>IF(D613="","",IF(J613&gt;=Configuracion!$B$13,"DESLIZAR",IF(J613&gt;=Configuracion!$B$12,"PREPARARSE","NO DESLIZAR")))</x:f>
      </x:c>
      <x:c r="N613" s="41" t="str">
        <x:f>IF(D613="","",D613-$D$8)</x:f>
      </x:c>
      <x:c r="O613" s="46" t="str">
        <x:f>IF(D613="","",MAX(0,MIN(1,N613/Configuracion!$B$10)))</x:f>
      </x:c>
    </x:row>
    <x:row r="614">
      <x:c r="A614" s="34"/>
      <x:c r="B614" s="36"/>
      <x:c r="C614" s="72"/>
      <x:c r="D614" s="71"/>
      <x:c r="E614" s="41" t="str">
        <x:f>IF(D614="","",D614+273.15)</x:f>
      </x:c>
      <x:c r="F614" s="44" t="str">
        <x:f>IF(OR(C614="",D614="",C613=""),"",(C614-C613)/60)</x:f>
      </x:c>
      <x:c r="G614" s="44" t="str">
        <x:f>IF(D614="","",EXP(-Configuracion!$B$4/Configuracion!$B$5*(1/AVERAGE(E613:E614)-1/(Configuracion!$B$3+273.15))))</x:f>
      </x:c>
      <x:c r="H614" s="44" t="str">
        <x:f>IF(D614="","",F614*G614)</x:f>
      </x:c>
      <x:c r="I614" s="44" t="str">
        <x:f>IF(D614="","",I613+H614)</x:f>
      </x:c>
      <x:c r="J614" s="46" t="str">
        <x:f>IF(D614="","",MIN(1,I614/Configuracion!$B$11))</x:f>
      </x:c>
      <x:c r="K614" s="48" t="str">
        <x:f>IF(D614="","",MAX(0,(Configuracion!$B$11-I614)/G614))</x:f>
      </x:c>
      <x:c r="L614" s="73" t="str">
        <x:f>IF(D614="","",C614+K614*60)</x:f>
      </x:c>
      <x:c r="M614" t="str">
        <x:f>IF(D614="","",IF(J614&gt;=Configuracion!$B$13,"DESLIZAR",IF(J614&gt;=Configuracion!$B$12,"PREPARARSE","NO DESLIZAR")))</x:f>
      </x:c>
      <x:c r="N614" s="41" t="str">
        <x:f>IF(D614="","",D614-$D$8)</x:f>
      </x:c>
      <x:c r="O614" s="46" t="str">
        <x:f>IF(D614="","",MAX(0,MIN(1,N614/Configuracion!$B$10)))</x:f>
      </x:c>
    </x:row>
    <x:row r="615">
      <x:c r="A615" s="34"/>
      <x:c r="B615" s="36"/>
      <x:c r="C615" s="72"/>
      <x:c r="D615" s="71"/>
      <x:c r="E615" s="41" t="str">
        <x:f>IF(D615="","",D615+273.15)</x:f>
      </x:c>
      <x:c r="F615" s="44" t="str">
        <x:f>IF(OR(C615="",D615="",C614=""),"",(C615-C614)/60)</x:f>
      </x:c>
      <x:c r="G615" s="44" t="str">
        <x:f>IF(D615="","",EXP(-Configuracion!$B$4/Configuracion!$B$5*(1/AVERAGE(E614:E615)-1/(Configuracion!$B$3+273.15))))</x:f>
      </x:c>
      <x:c r="H615" s="44" t="str">
        <x:f>IF(D615="","",F615*G615)</x:f>
      </x:c>
      <x:c r="I615" s="44" t="str">
        <x:f>IF(D615="","",I614+H615)</x:f>
      </x:c>
      <x:c r="J615" s="46" t="str">
        <x:f>IF(D615="","",MIN(1,I615/Configuracion!$B$11))</x:f>
      </x:c>
      <x:c r="K615" s="48" t="str">
        <x:f>IF(D615="","",MAX(0,(Configuracion!$B$11-I615)/G615))</x:f>
      </x:c>
      <x:c r="L615" s="73" t="str">
        <x:f>IF(D615="","",C615+K615*60)</x:f>
      </x:c>
      <x:c r="M615" t="str">
        <x:f>IF(D615="","",IF(J615&gt;=Configuracion!$B$13,"DESLIZAR",IF(J615&gt;=Configuracion!$B$12,"PREPARARSE","NO DESLIZAR")))</x:f>
      </x:c>
      <x:c r="N615" s="41" t="str">
        <x:f>IF(D615="","",D615-$D$8)</x:f>
      </x:c>
      <x:c r="O615" s="46" t="str">
        <x:f>IF(D615="","",MAX(0,MIN(1,N615/Configuracion!$B$10)))</x:f>
      </x:c>
    </x:row>
    <x:row r="616">
      <x:c r="A616" s="34"/>
      <x:c r="B616" s="36"/>
      <x:c r="C616" s="72"/>
      <x:c r="D616" s="71"/>
      <x:c r="E616" s="41" t="str">
        <x:f>IF(D616="","",D616+273.15)</x:f>
      </x:c>
      <x:c r="F616" s="44" t="str">
        <x:f>IF(OR(C616="",D616="",C615=""),"",(C616-C615)/60)</x:f>
      </x:c>
      <x:c r="G616" s="44" t="str">
        <x:f>IF(D616="","",EXP(-Configuracion!$B$4/Configuracion!$B$5*(1/AVERAGE(E615:E616)-1/(Configuracion!$B$3+273.15))))</x:f>
      </x:c>
      <x:c r="H616" s="44" t="str">
        <x:f>IF(D616="","",F616*G616)</x:f>
      </x:c>
      <x:c r="I616" s="44" t="str">
        <x:f>IF(D616="","",I615+H616)</x:f>
      </x:c>
      <x:c r="J616" s="46" t="str">
        <x:f>IF(D616="","",MIN(1,I616/Configuracion!$B$11))</x:f>
      </x:c>
      <x:c r="K616" s="48" t="str">
        <x:f>IF(D616="","",MAX(0,(Configuracion!$B$11-I616)/G616))</x:f>
      </x:c>
      <x:c r="L616" s="73" t="str">
        <x:f>IF(D616="","",C616+K616*60)</x:f>
      </x:c>
      <x:c r="M616" t="str">
        <x:f>IF(D616="","",IF(J616&gt;=Configuracion!$B$13,"DESLIZAR",IF(J616&gt;=Configuracion!$B$12,"PREPARARSE","NO DESLIZAR")))</x:f>
      </x:c>
      <x:c r="N616" s="41" t="str">
        <x:f>IF(D616="","",D616-$D$8)</x:f>
      </x:c>
      <x:c r="O616" s="46" t="str">
        <x:f>IF(D616="","",MAX(0,MIN(1,N616/Configuracion!$B$10)))</x:f>
      </x:c>
    </x:row>
    <x:row r="617">
      <x:c r="A617" s="34"/>
      <x:c r="B617" s="36"/>
      <x:c r="C617" s="72"/>
      <x:c r="D617" s="71"/>
      <x:c r="E617" s="41" t="str">
        <x:f>IF(D617="","",D617+273.15)</x:f>
      </x:c>
      <x:c r="F617" s="44" t="str">
        <x:f>IF(OR(C617="",D617="",C616=""),"",(C617-C616)/60)</x:f>
      </x:c>
      <x:c r="G617" s="44" t="str">
        <x:f>IF(D617="","",EXP(-Configuracion!$B$4/Configuracion!$B$5*(1/AVERAGE(E616:E617)-1/(Configuracion!$B$3+273.15))))</x:f>
      </x:c>
      <x:c r="H617" s="44" t="str">
        <x:f>IF(D617="","",F617*G617)</x:f>
      </x:c>
      <x:c r="I617" s="44" t="str">
        <x:f>IF(D617="","",I616+H617)</x:f>
      </x:c>
      <x:c r="J617" s="46" t="str">
        <x:f>IF(D617="","",MIN(1,I617/Configuracion!$B$11))</x:f>
      </x:c>
      <x:c r="K617" s="48" t="str">
        <x:f>IF(D617="","",MAX(0,(Configuracion!$B$11-I617)/G617))</x:f>
      </x:c>
      <x:c r="L617" s="73" t="str">
        <x:f>IF(D617="","",C617+K617*60)</x:f>
      </x:c>
      <x:c r="M617" t="str">
        <x:f>IF(D617="","",IF(J617&gt;=Configuracion!$B$13,"DESLIZAR",IF(J617&gt;=Configuracion!$B$12,"PREPARARSE","NO DESLIZAR")))</x:f>
      </x:c>
      <x:c r="N617" s="41" t="str">
        <x:f>IF(D617="","",D617-$D$8)</x:f>
      </x:c>
      <x:c r="O617" s="46" t="str">
        <x:f>IF(D617="","",MAX(0,MIN(1,N617/Configuracion!$B$10)))</x:f>
      </x:c>
    </x:row>
    <x:row r="618">
      <x:c r="A618" s="34"/>
      <x:c r="B618" s="36"/>
      <x:c r="C618" s="72"/>
      <x:c r="D618" s="71"/>
      <x:c r="E618" s="41" t="str">
        <x:f>IF(D618="","",D618+273.15)</x:f>
      </x:c>
      <x:c r="F618" s="44" t="str">
        <x:f>IF(OR(C618="",D618="",C617=""),"",(C618-C617)/60)</x:f>
      </x:c>
      <x:c r="G618" s="44" t="str">
        <x:f>IF(D618="","",EXP(-Configuracion!$B$4/Configuracion!$B$5*(1/AVERAGE(E617:E618)-1/(Configuracion!$B$3+273.15))))</x:f>
      </x:c>
      <x:c r="H618" s="44" t="str">
        <x:f>IF(D618="","",F618*G618)</x:f>
      </x:c>
      <x:c r="I618" s="44" t="str">
        <x:f>IF(D618="","",I617+H618)</x:f>
      </x:c>
      <x:c r="J618" s="46" t="str">
        <x:f>IF(D618="","",MIN(1,I618/Configuracion!$B$11))</x:f>
      </x:c>
      <x:c r="K618" s="48" t="str">
        <x:f>IF(D618="","",MAX(0,(Configuracion!$B$11-I618)/G618))</x:f>
      </x:c>
      <x:c r="L618" s="73" t="str">
        <x:f>IF(D618="","",C618+K618*60)</x:f>
      </x:c>
      <x:c r="M618" t="str">
        <x:f>IF(D618="","",IF(J618&gt;=Configuracion!$B$13,"DESLIZAR",IF(J618&gt;=Configuracion!$B$12,"PREPARARSE","NO DESLIZAR")))</x:f>
      </x:c>
      <x:c r="N618" s="41" t="str">
        <x:f>IF(D618="","",D618-$D$8)</x:f>
      </x:c>
      <x:c r="O618" s="46" t="str">
        <x:f>IF(D618="","",MAX(0,MIN(1,N618/Configuracion!$B$10)))</x:f>
      </x:c>
    </x:row>
    <x:row r="619">
      <x:c r="A619" s="34"/>
      <x:c r="B619" s="36"/>
      <x:c r="C619" s="72"/>
      <x:c r="D619" s="71"/>
      <x:c r="E619" s="41" t="str">
        <x:f>IF(D619="","",D619+273.15)</x:f>
      </x:c>
      <x:c r="F619" s="44" t="str">
        <x:f>IF(OR(C619="",D619="",C618=""),"",(C619-C618)/60)</x:f>
      </x:c>
      <x:c r="G619" s="44" t="str">
        <x:f>IF(D619="","",EXP(-Configuracion!$B$4/Configuracion!$B$5*(1/AVERAGE(E618:E619)-1/(Configuracion!$B$3+273.15))))</x:f>
      </x:c>
      <x:c r="H619" s="44" t="str">
        <x:f>IF(D619="","",F619*G619)</x:f>
      </x:c>
      <x:c r="I619" s="44" t="str">
        <x:f>IF(D619="","",I618+H619)</x:f>
      </x:c>
      <x:c r="J619" s="46" t="str">
        <x:f>IF(D619="","",MIN(1,I619/Configuracion!$B$11))</x:f>
      </x:c>
      <x:c r="K619" s="48" t="str">
        <x:f>IF(D619="","",MAX(0,(Configuracion!$B$11-I619)/G619))</x:f>
      </x:c>
      <x:c r="L619" s="73" t="str">
        <x:f>IF(D619="","",C619+K619*60)</x:f>
      </x:c>
      <x:c r="M619" t="str">
        <x:f>IF(D619="","",IF(J619&gt;=Configuracion!$B$13,"DESLIZAR",IF(J619&gt;=Configuracion!$B$12,"PREPARARSE","NO DESLIZAR")))</x:f>
      </x:c>
      <x:c r="N619" s="41" t="str">
        <x:f>IF(D619="","",D619-$D$8)</x:f>
      </x:c>
      <x:c r="O619" s="46" t="str">
        <x:f>IF(D619="","",MAX(0,MIN(1,N619/Configuracion!$B$10)))</x:f>
      </x:c>
    </x:row>
    <x:row r="620">
      <x:c r="A620" s="34"/>
      <x:c r="B620" s="36"/>
      <x:c r="C620" s="72"/>
      <x:c r="D620" s="71"/>
      <x:c r="E620" s="41" t="str">
        <x:f>IF(D620="","",D620+273.15)</x:f>
      </x:c>
      <x:c r="F620" s="44" t="str">
        <x:f>IF(OR(C620="",D620="",C619=""),"",(C620-C619)/60)</x:f>
      </x:c>
      <x:c r="G620" s="44" t="str">
        <x:f>IF(D620="","",EXP(-Configuracion!$B$4/Configuracion!$B$5*(1/AVERAGE(E619:E620)-1/(Configuracion!$B$3+273.15))))</x:f>
      </x:c>
      <x:c r="H620" s="44" t="str">
        <x:f>IF(D620="","",F620*G620)</x:f>
      </x:c>
      <x:c r="I620" s="44" t="str">
        <x:f>IF(D620="","",I619+H620)</x:f>
      </x:c>
      <x:c r="J620" s="46" t="str">
        <x:f>IF(D620="","",MIN(1,I620/Configuracion!$B$11))</x:f>
      </x:c>
      <x:c r="K620" s="48" t="str">
        <x:f>IF(D620="","",MAX(0,(Configuracion!$B$11-I620)/G620))</x:f>
      </x:c>
      <x:c r="L620" s="73" t="str">
        <x:f>IF(D620="","",C620+K620*60)</x:f>
      </x:c>
      <x:c r="M620" t="str">
        <x:f>IF(D620="","",IF(J620&gt;=Configuracion!$B$13,"DESLIZAR",IF(J620&gt;=Configuracion!$B$12,"PREPARARSE","NO DESLIZAR")))</x:f>
      </x:c>
      <x:c r="N620" s="41" t="str">
        <x:f>IF(D620="","",D620-$D$8)</x:f>
      </x:c>
      <x:c r="O620" s="46" t="str">
        <x:f>IF(D620="","",MAX(0,MIN(1,N620/Configuracion!$B$10)))</x:f>
      </x:c>
    </x:row>
    <x:row r="621">
      <x:c r="A621" s="34"/>
      <x:c r="B621" s="36"/>
      <x:c r="C621" s="72"/>
      <x:c r="D621" s="71"/>
      <x:c r="E621" s="41" t="str">
        <x:f>IF(D621="","",D621+273.15)</x:f>
      </x:c>
      <x:c r="F621" s="44" t="str">
        <x:f>IF(OR(C621="",D621="",C620=""),"",(C621-C620)/60)</x:f>
      </x:c>
      <x:c r="G621" s="44" t="str">
        <x:f>IF(D621="","",EXP(-Configuracion!$B$4/Configuracion!$B$5*(1/AVERAGE(E620:E621)-1/(Configuracion!$B$3+273.15))))</x:f>
      </x:c>
      <x:c r="H621" s="44" t="str">
        <x:f>IF(D621="","",F621*G621)</x:f>
      </x:c>
      <x:c r="I621" s="44" t="str">
        <x:f>IF(D621="","",I620+H621)</x:f>
      </x:c>
      <x:c r="J621" s="46" t="str">
        <x:f>IF(D621="","",MIN(1,I621/Configuracion!$B$11))</x:f>
      </x:c>
      <x:c r="K621" s="48" t="str">
        <x:f>IF(D621="","",MAX(0,(Configuracion!$B$11-I621)/G621))</x:f>
      </x:c>
      <x:c r="L621" s="73" t="str">
        <x:f>IF(D621="","",C621+K621*60)</x:f>
      </x:c>
      <x:c r="M621" t="str">
        <x:f>IF(D621="","",IF(J621&gt;=Configuracion!$B$13,"DESLIZAR",IF(J621&gt;=Configuracion!$B$12,"PREPARARSE","NO DESLIZAR")))</x:f>
      </x:c>
      <x:c r="N621" s="41" t="str">
        <x:f>IF(D621="","",D621-$D$8)</x:f>
      </x:c>
      <x:c r="O621" s="46" t="str">
        <x:f>IF(D621="","",MAX(0,MIN(1,N621/Configuracion!$B$10)))</x:f>
      </x:c>
    </x:row>
    <x:row r="622">
      <x:c r="A622" s="34"/>
      <x:c r="B622" s="36"/>
      <x:c r="C622" s="72"/>
      <x:c r="D622" s="71"/>
      <x:c r="E622" s="41" t="str">
        <x:f>IF(D622="","",D622+273.15)</x:f>
      </x:c>
      <x:c r="F622" s="44" t="str">
        <x:f>IF(OR(C622="",D622="",C621=""),"",(C622-C621)/60)</x:f>
      </x:c>
      <x:c r="G622" s="44" t="str">
        <x:f>IF(D622="","",EXP(-Configuracion!$B$4/Configuracion!$B$5*(1/AVERAGE(E621:E622)-1/(Configuracion!$B$3+273.15))))</x:f>
      </x:c>
      <x:c r="H622" s="44" t="str">
        <x:f>IF(D622="","",F622*G622)</x:f>
      </x:c>
      <x:c r="I622" s="44" t="str">
        <x:f>IF(D622="","",I621+H622)</x:f>
      </x:c>
      <x:c r="J622" s="46" t="str">
        <x:f>IF(D622="","",MIN(1,I622/Configuracion!$B$11))</x:f>
      </x:c>
      <x:c r="K622" s="48" t="str">
        <x:f>IF(D622="","",MAX(0,(Configuracion!$B$11-I622)/G622))</x:f>
      </x:c>
      <x:c r="L622" s="73" t="str">
        <x:f>IF(D622="","",C622+K622*60)</x:f>
      </x:c>
      <x:c r="M622" t="str">
        <x:f>IF(D622="","",IF(J622&gt;=Configuracion!$B$13,"DESLIZAR",IF(J622&gt;=Configuracion!$B$12,"PREPARARSE","NO DESLIZAR")))</x:f>
      </x:c>
      <x:c r="N622" s="41" t="str">
        <x:f>IF(D622="","",D622-$D$8)</x:f>
      </x:c>
      <x:c r="O622" s="46" t="str">
        <x:f>IF(D622="","",MAX(0,MIN(1,N622/Configuracion!$B$10)))</x:f>
      </x:c>
    </x:row>
    <x:row r="623">
      <x:c r="A623" s="34"/>
      <x:c r="B623" s="36"/>
      <x:c r="C623" s="72"/>
      <x:c r="D623" s="71"/>
      <x:c r="E623" s="41" t="str">
        <x:f>IF(D623="","",D623+273.15)</x:f>
      </x:c>
      <x:c r="F623" s="44" t="str">
        <x:f>IF(OR(C623="",D623="",C622=""),"",(C623-C622)/60)</x:f>
      </x:c>
      <x:c r="G623" s="44" t="str">
        <x:f>IF(D623="","",EXP(-Configuracion!$B$4/Configuracion!$B$5*(1/AVERAGE(E622:E623)-1/(Configuracion!$B$3+273.15))))</x:f>
      </x:c>
      <x:c r="H623" s="44" t="str">
        <x:f>IF(D623="","",F623*G623)</x:f>
      </x:c>
      <x:c r="I623" s="44" t="str">
        <x:f>IF(D623="","",I622+H623)</x:f>
      </x:c>
      <x:c r="J623" s="46" t="str">
        <x:f>IF(D623="","",MIN(1,I623/Configuracion!$B$11))</x:f>
      </x:c>
      <x:c r="K623" s="48" t="str">
        <x:f>IF(D623="","",MAX(0,(Configuracion!$B$11-I623)/G623))</x:f>
      </x:c>
      <x:c r="L623" s="73" t="str">
        <x:f>IF(D623="","",C623+K623*60)</x:f>
      </x:c>
      <x:c r="M623" t="str">
        <x:f>IF(D623="","",IF(J623&gt;=Configuracion!$B$13,"DESLIZAR",IF(J623&gt;=Configuracion!$B$12,"PREPARARSE","NO DESLIZAR")))</x:f>
      </x:c>
      <x:c r="N623" s="41" t="str">
        <x:f>IF(D623="","",D623-$D$8)</x:f>
      </x:c>
      <x:c r="O623" s="46" t="str">
        <x:f>IF(D623="","",MAX(0,MIN(1,N623/Configuracion!$B$10)))</x:f>
      </x:c>
    </x:row>
    <x:row r="624">
      <x:c r="A624" s="34"/>
      <x:c r="B624" s="36"/>
      <x:c r="C624" s="72"/>
      <x:c r="D624" s="71"/>
      <x:c r="E624" s="41" t="str">
        <x:f>IF(D624="","",D624+273.15)</x:f>
      </x:c>
      <x:c r="F624" s="44" t="str">
        <x:f>IF(OR(C624="",D624="",C623=""),"",(C624-C623)/60)</x:f>
      </x:c>
      <x:c r="G624" s="44" t="str">
        <x:f>IF(D624="","",EXP(-Configuracion!$B$4/Configuracion!$B$5*(1/AVERAGE(E623:E624)-1/(Configuracion!$B$3+273.15))))</x:f>
      </x:c>
      <x:c r="H624" s="44" t="str">
        <x:f>IF(D624="","",F624*G624)</x:f>
      </x:c>
      <x:c r="I624" s="44" t="str">
        <x:f>IF(D624="","",I623+H624)</x:f>
      </x:c>
      <x:c r="J624" s="46" t="str">
        <x:f>IF(D624="","",MIN(1,I624/Configuracion!$B$11))</x:f>
      </x:c>
      <x:c r="K624" s="48" t="str">
        <x:f>IF(D624="","",MAX(0,(Configuracion!$B$11-I624)/G624))</x:f>
      </x:c>
      <x:c r="L624" s="73" t="str">
        <x:f>IF(D624="","",C624+K624*60)</x:f>
      </x:c>
      <x:c r="M624" t="str">
        <x:f>IF(D624="","",IF(J624&gt;=Configuracion!$B$13,"DESLIZAR",IF(J624&gt;=Configuracion!$B$12,"PREPARARSE","NO DESLIZAR")))</x:f>
      </x:c>
      <x:c r="N624" s="41" t="str">
        <x:f>IF(D624="","",D624-$D$8)</x:f>
      </x:c>
      <x:c r="O624" s="46" t="str">
        <x:f>IF(D624="","",MAX(0,MIN(1,N624/Configuracion!$B$10)))</x:f>
      </x:c>
    </x:row>
    <x:row r="625">
      <x:c r="A625" s="34"/>
      <x:c r="B625" s="36"/>
      <x:c r="C625" s="72"/>
      <x:c r="D625" s="71"/>
      <x:c r="E625" s="41" t="str">
        <x:f>IF(D625="","",D625+273.15)</x:f>
      </x:c>
      <x:c r="F625" s="44" t="str">
        <x:f>IF(OR(C625="",D625="",C624=""),"",(C625-C624)/60)</x:f>
      </x:c>
      <x:c r="G625" s="44" t="str">
        <x:f>IF(D625="","",EXP(-Configuracion!$B$4/Configuracion!$B$5*(1/AVERAGE(E624:E625)-1/(Configuracion!$B$3+273.15))))</x:f>
      </x:c>
      <x:c r="H625" s="44" t="str">
        <x:f>IF(D625="","",F625*G625)</x:f>
      </x:c>
      <x:c r="I625" s="44" t="str">
        <x:f>IF(D625="","",I624+H625)</x:f>
      </x:c>
      <x:c r="J625" s="46" t="str">
        <x:f>IF(D625="","",MIN(1,I625/Configuracion!$B$11))</x:f>
      </x:c>
      <x:c r="K625" s="48" t="str">
        <x:f>IF(D625="","",MAX(0,(Configuracion!$B$11-I625)/G625))</x:f>
      </x:c>
      <x:c r="L625" s="73" t="str">
        <x:f>IF(D625="","",C625+K625*60)</x:f>
      </x:c>
      <x:c r="M625" t="str">
        <x:f>IF(D625="","",IF(J625&gt;=Configuracion!$B$13,"DESLIZAR",IF(J625&gt;=Configuracion!$B$12,"PREPARARSE","NO DESLIZAR")))</x:f>
      </x:c>
      <x:c r="N625" s="41" t="str">
        <x:f>IF(D625="","",D625-$D$8)</x:f>
      </x:c>
      <x:c r="O625" s="46" t="str">
        <x:f>IF(D625="","",MAX(0,MIN(1,N625/Configuracion!$B$10)))</x:f>
      </x:c>
    </x:row>
    <x:row r="626">
      <x:c r="A626" s="34"/>
      <x:c r="B626" s="36"/>
      <x:c r="C626" s="72"/>
      <x:c r="D626" s="71"/>
      <x:c r="E626" s="41" t="str">
        <x:f>IF(D626="","",D626+273.15)</x:f>
      </x:c>
      <x:c r="F626" s="44" t="str">
        <x:f>IF(OR(C626="",D626="",C625=""),"",(C626-C625)/60)</x:f>
      </x:c>
      <x:c r="G626" s="44" t="str">
        <x:f>IF(D626="","",EXP(-Configuracion!$B$4/Configuracion!$B$5*(1/AVERAGE(E625:E626)-1/(Configuracion!$B$3+273.15))))</x:f>
      </x:c>
      <x:c r="H626" s="44" t="str">
        <x:f>IF(D626="","",F626*G626)</x:f>
      </x:c>
      <x:c r="I626" s="44" t="str">
        <x:f>IF(D626="","",I625+H626)</x:f>
      </x:c>
      <x:c r="J626" s="46" t="str">
        <x:f>IF(D626="","",MIN(1,I626/Configuracion!$B$11))</x:f>
      </x:c>
      <x:c r="K626" s="48" t="str">
        <x:f>IF(D626="","",MAX(0,(Configuracion!$B$11-I626)/G626))</x:f>
      </x:c>
      <x:c r="L626" s="73" t="str">
        <x:f>IF(D626="","",C626+K626*60)</x:f>
      </x:c>
      <x:c r="M626" t="str">
        <x:f>IF(D626="","",IF(J626&gt;=Configuracion!$B$13,"DESLIZAR",IF(J626&gt;=Configuracion!$B$12,"PREPARARSE","NO DESLIZAR")))</x:f>
      </x:c>
      <x:c r="N626" s="41" t="str">
        <x:f>IF(D626="","",D626-$D$8)</x:f>
      </x:c>
      <x:c r="O626" s="46" t="str">
        <x:f>IF(D626="","",MAX(0,MIN(1,N626/Configuracion!$B$10)))</x:f>
      </x:c>
    </x:row>
    <x:row r="627">
      <x:c r="A627" s="34"/>
      <x:c r="B627" s="36"/>
      <x:c r="C627" s="72"/>
      <x:c r="D627" s="71"/>
      <x:c r="E627" s="41" t="str">
        <x:f>IF(D627="","",D627+273.15)</x:f>
      </x:c>
      <x:c r="F627" s="44" t="str">
        <x:f>IF(OR(C627="",D627="",C626=""),"",(C627-C626)/60)</x:f>
      </x:c>
      <x:c r="G627" s="44" t="str">
        <x:f>IF(D627="","",EXP(-Configuracion!$B$4/Configuracion!$B$5*(1/AVERAGE(E626:E627)-1/(Configuracion!$B$3+273.15))))</x:f>
      </x:c>
      <x:c r="H627" s="44" t="str">
        <x:f>IF(D627="","",F627*G627)</x:f>
      </x:c>
      <x:c r="I627" s="44" t="str">
        <x:f>IF(D627="","",I626+H627)</x:f>
      </x:c>
      <x:c r="J627" s="46" t="str">
        <x:f>IF(D627="","",MIN(1,I627/Configuracion!$B$11))</x:f>
      </x:c>
      <x:c r="K627" s="48" t="str">
        <x:f>IF(D627="","",MAX(0,(Configuracion!$B$11-I627)/G627))</x:f>
      </x:c>
      <x:c r="L627" s="73" t="str">
        <x:f>IF(D627="","",C627+K627*60)</x:f>
      </x:c>
      <x:c r="M627" t="str">
        <x:f>IF(D627="","",IF(J627&gt;=Configuracion!$B$13,"DESLIZAR",IF(J627&gt;=Configuracion!$B$12,"PREPARARSE","NO DESLIZAR")))</x:f>
      </x:c>
      <x:c r="N627" s="41" t="str">
        <x:f>IF(D627="","",D627-$D$8)</x:f>
      </x:c>
      <x:c r="O627" s="46" t="str">
        <x:f>IF(D627="","",MAX(0,MIN(1,N627/Configuracion!$B$10)))</x:f>
      </x:c>
    </x:row>
    <x:row r="628">
      <x:c r="A628" s="34"/>
      <x:c r="B628" s="36"/>
      <x:c r="C628" s="72"/>
      <x:c r="D628" s="71"/>
      <x:c r="E628" s="41" t="str">
        <x:f>IF(D628="","",D628+273.15)</x:f>
      </x:c>
      <x:c r="F628" s="44" t="str">
        <x:f>IF(OR(C628="",D628="",C627=""),"",(C628-C627)/60)</x:f>
      </x:c>
      <x:c r="G628" s="44" t="str">
        <x:f>IF(D628="","",EXP(-Configuracion!$B$4/Configuracion!$B$5*(1/AVERAGE(E627:E628)-1/(Configuracion!$B$3+273.15))))</x:f>
      </x:c>
      <x:c r="H628" s="44" t="str">
        <x:f>IF(D628="","",F628*G628)</x:f>
      </x:c>
      <x:c r="I628" s="44" t="str">
        <x:f>IF(D628="","",I627+H628)</x:f>
      </x:c>
      <x:c r="J628" s="46" t="str">
        <x:f>IF(D628="","",MIN(1,I628/Configuracion!$B$11))</x:f>
      </x:c>
      <x:c r="K628" s="48" t="str">
        <x:f>IF(D628="","",MAX(0,(Configuracion!$B$11-I628)/G628))</x:f>
      </x:c>
      <x:c r="L628" s="73" t="str">
        <x:f>IF(D628="","",C628+K628*60)</x:f>
      </x:c>
      <x:c r="M628" t="str">
        <x:f>IF(D628="","",IF(J628&gt;=Configuracion!$B$13,"DESLIZAR",IF(J628&gt;=Configuracion!$B$12,"PREPARARSE","NO DESLIZAR")))</x:f>
      </x:c>
      <x:c r="N628" s="41" t="str">
        <x:f>IF(D628="","",D628-$D$8)</x:f>
      </x:c>
      <x:c r="O628" s="46" t="str">
        <x:f>IF(D628="","",MAX(0,MIN(1,N628/Configuracion!$B$10)))</x:f>
      </x:c>
    </x:row>
    <x:row r="629">
      <x:c r="A629" s="34"/>
      <x:c r="B629" s="36"/>
      <x:c r="C629" s="72"/>
      <x:c r="D629" s="71"/>
      <x:c r="E629" s="41" t="str">
        <x:f>IF(D629="","",D629+273.15)</x:f>
      </x:c>
      <x:c r="F629" s="44" t="str">
        <x:f>IF(OR(C629="",D629="",C628=""),"",(C629-C628)/60)</x:f>
      </x:c>
      <x:c r="G629" s="44" t="str">
        <x:f>IF(D629="","",EXP(-Configuracion!$B$4/Configuracion!$B$5*(1/AVERAGE(E628:E629)-1/(Configuracion!$B$3+273.15))))</x:f>
      </x:c>
      <x:c r="H629" s="44" t="str">
        <x:f>IF(D629="","",F629*G629)</x:f>
      </x:c>
      <x:c r="I629" s="44" t="str">
        <x:f>IF(D629="","",I628+H629)</x:f>
      </x:c>
      <x:c r="J629" s="46" t="str">
        <x:f>IF(D629="","",MIN(1,I629/Configuracion!$B$11))</x:f>
      </x:c>
      <x:c r="K629" s="48" t="str">
        <x:f>IF(D629="","",MAX(0,(Configuracion!$B$11-I629)/G629))</x:f>
      </x:c>
      <x:c r="L629" s="73" t="str">
        <x:f>IF(D629="","",C629+K629*60)</x:f>
      </x:c>
      <x:c r="M629" t="str">
        <x:f>IF(D629="","",IF(J629&gt;=Configuracion!$B$13,"DESLIZAR",IF(J629&gt;=Configuracion!$B$12,"PREPARARSE","NO DESLIZAR")))</x:f>
      </x:c>
      <x:c r="N629" s="41" t="str">
        <x:f>IF(D629="","",D629-$D$8)</x:f>
      </x:c>
      <x:c r="O629" s="46" t="str">
        <x:f>IF(D629="","",MAX(0,MIN(1,N629/Configuracion!$B$10)))</x:f>
      </x:c>
    </x:row>
    <x:row r="630">
      <x:c r="A630" s="34"/>
      <x:c r="B630" s="36"/>
      <x:c r="C630" s="72"/>
      <x:c r="D630" s="71"/>
      <x:c r="E630" s="41" t="str">
        <x:f>IF(D630="","",D630+273.15)</x:f>
      </x:c>
      <x:c r="F630" s="44" t="str">
        <x:f>IF(OR(C630="",D630="",C629=""),"",(C630-C629)/60)</x:f>
      </x:c>
      <x:c r="G630" s="44" t="str">
        <x:f>IF(D630="","",EXP(-Configuracion!$B$4/Configuracion!$B$5*(1/AVERAGE(E629:E630)-1/(Configuracion!$B$3+273.15))))</x:f>
      </x:c>
      <x:c r="H630" s="44" t="str">
        <x:f>IF(D630="","",F630*G630)</x:f>
      </x:c>
      <x:c r="I630" s="44" t="str">
        <x:f>IF(D630="","",I629+H630)</x:f>
      </x:c>
      <x:c r="J630" s="46" t="str">
        <x:f>IF(D630="","",MIN(1,I630/Configuracion!$B$11))</x:f>
      </x:c>
      <x:c r="K630" s="48" t="str">
        <x:f>IF(D630="","",MAX(0,(Configuracion!$B$11-I630)/G630))</x:f>
      </x:c>
      <x:c r="L630" s="73" t="str">
        <x:f>IF(D630="","",C630+K630*60)</x:f>
      </x:c>
      <x:c r="M630" t="str">
        <x:f>IF(D630="","",IF(J630&gt;=Configuracion!$B$13,"DESLIZAR",IF(J630&gt;=Configuracion!$B$12,"PREPARARSE","NO DESLIZAR")))</x:f>
      </x:c>
      <x:c r="N630" s="41" t="str">
        <x:f>IF(D630="","",D630-$D$8)</x:f>
      </x:c>
      <x:c r="O630" s="46" t="str">
        <x:f>IF(D630="","",MAX(0,MIN(1,N630/Configuracion!$B$10)))</x:f>
      </x:c>
    </x:row>
    <x:row r="631">
      <x:c r="A631" s="34"/>
      <x:c r="B631" s="36"/>
      <x:c r="C631" s="72"/>
      <x:c r="D631" s="71"/>
      <x:c r="E631" s="41" t="str">
        <x:f>IF(D631="","",D631+273.15)</x:f>
      </x:c>
      <x:c r="F631" s="44" t="str">
        <x:f>IF(OR(C631="",D631="",C630=""),"",(C631-C630)/60)</x:f>
      </x:c>
      <x:c r="G631" s="44" t="str">
        <x:f>IF(D631="","",EXP(-Configuracion!$B$4/Configuracion!$B$5*(1/AVERAGE(E630:E631)-1/(Configuracion!$B$3+273.15))))</x:f>
      </x:c>
      <x:c r="H631" s="44" t="str">
        <x:f>IF(D631="","",F631*G631)</x:f>
      </x:c>
      <x:c r="I631" s="44" t="str">
        <x:f>IF(D631="","",I630+H631)</x:f>
      </x:c>
      <x:c r="J631" s="46" t="str">
        <x:f>IF(D631="","",MIN(1,I631/Configuracion!$B$11))</x:f>
      </x:c>
      <x:c r="K631" s="48" t="str">
        <x:f>IF(D631="","",MAX(0,(Configuracion!$B$11-I631)/G631))</x:f>
      </x:c>
      <x:c r="L631" s="73" t="str">
        <x:f>IF(D631="","",C631+K631*60)</x:f>
      </x:c>
      <x:c r="M631" t="str">
        <x:f>IF(D631="","",IF(J631&gt;=Configuracion!$B$13,"DESLIZAR",IF(J631&gt;=Configuracion!$B$12,"PREPARARSE","NO DESLIZAR")))</x:f>
      </x:c>
      <x:c r="N631" s="41" t="str">
        <x:f>IF(D631="","",D631-$D$8)</x:f>
      </x:c>
      <x:c r="O631" s="46" t="str">
        <x:f>IF(D631="","",MAX(0,MIN(1,N631/Configuracion!$B$10)))</x:f>
      </x:c>
    </x:row>
    <x:row r="632">
      <x:c r="A632" s="34"/>
      <x:c r="B632" s="36"/>
      <x:c r="C632" s="72"/>
      <x:c r="D632" s="71"/>
      <x:c r="E632" s="41" t="str">
        <x:f>IF(D632="","",D632+273.15)</x:f>
      </x:c>
      <x:c r="F632" s="44" t="str">
        <x:f>IF(OR(C632="",D632="",C631=""),"",(C632-C631)/60)</x:f>
      </x:c>
      <x:c r="G632" s="44" t="str">
        <x:f>IF(D632="","",EXP(-Configuracion!$B$4/Configuracion!$B$5*(1/AVERAGE(E631:E632)-1/(Configuracion!$B$3+273.15))))</x:f>
      </x:c>
      <x:c r="H632" s="44" t="str">
        <x:f>IF(D632="","",F632*G632)</x:f>
      </x:c>
      <x:c r="I632" s="44" t="str">
        <x:f>IF(D632="","",I631+H632)</x:f>
      </x:c>
      <x:c r="J632" s="46" t="str">
        <x:f>IF(D632="","",MIN(1,I632/Configuracion!$B$11))</x:f>
      </x:c>
      <x:c r="K632" s="48" t="str">
        <x:f>IF(D632="","",MAX(0,(Configuracion!$B$11-I632)/G632))</x:f>
      </x:c>
      <x:c r="L632" s="73" t="str">
        <x:f>IF(D632="","",C632+K632*60)</x:f>
      </x:c>
      <x:c r="M632" t="str">
        <x:f>IF(D632="","",IF(J632&gt;=Configuracion!$B$13,"DESLIZAR",IF(J632&gt;=Configuracion!$B$12,"PREPARARSE","NO DESLIZAR")))</x:f>
      </x:c>
      <x:c r="N632" s="41" t="str">
        <x:f>IF(D632="","",D632-$D$8)</x:f>
      </x:c>
      <x:c r="O632" s="46" t="str">
        <x:f>IF(D632="","",MAX(0,MIN(1,N632/Configuracion!$B$10)))</x:f>
      </x:c>
    </x:row>
    <x:row r="633">
      <x:c r="A633" s="34"/>
      <x:c r="B633" s="36"/>
      <x:c r="C633" s="72"/>
      <x:c r="D633" s="71"/>
      <x:c r="E633" s="41" t="str">
        <x:f>IF(D633="","",D633+273.15)</x:f>
      </x:c>
      <x:c r="F633" s="44" t="str">
        <x:f>IF(OR(C633="",D633="",C632=""),"",(C633-C632)/60)</x:f>
      </x:c>
      <x:c r="G633" s="44" t="str">
        <x:f>IF(D633="","",EXP(-Configuracion!$B$4/Configuracion!$B$5*(1/AVERAGE(E632:E633)-1/(Configuracion!$B$3+273.15))))</x:f>
      </x:c>
      <x:c r="H633" s="44" t="str">
        <x:f>IF(D633="","",F633*G633)</x:f>
      </x:c>
      <x:c r="I633" s="44" t="str">
        <x:f>IF(D633="","",I632+H633)</x:f>
      </x:c>
      <x:c r="J633" s="46" t="str">
        <x:f>IF(D633="","",MIN(1,I633/Configuracion!$B$11))</x:f>
      </x:c>
      <x:c r="K633" s="48" t="str">
        <x:f>IF(D633="","",MAX(0,(Configuracion!$B$11-I633)/G633))</x:f>
      </x:c>
      <x:c r="L633" s="73" t="str">
        <x:f>IF(D633="","",C633+K633*60)</x:f>
      </x:c>
      <x:c r="M633" t="str">
        <x:f>IF(D633="","",IF(J633&gt;=Configuracion!$B$13,"DESLIZAR",IF(J633&gt;=Configuracion!$B$12,"PREPARARSE","NO DESLIZAR")))</x:f>
      </x:c>
      <x:c r="N633" s="41" t="str">
        <x:f>IF(D633="","",D633-$D$8)</x:f>
      </x:c>
      <x:c r="O633" s="46" t="str">
        <x:f>IF(D633="","",MAX(0,MIN(1,N633/Configuracion!$B$10)))</x:f>
      </x:c>
    </x:row>
    <x:row r="634">
      <x:c r="A634" s="34"/>
      <x:c r="B634" s="36"/>
      <x:c r="C634" s="72"/>
      <x:c r="D634" s="71"/>
      <x:c r="E634" s="41" t="str">
        <x:f>IF(D634="","",D634+273.15)</x:f>
      </x:c>
      <x:c r="F634" s="44" t="str">
        <x:f>IF(OR(C634="",D634="",C633=""),"",(C634-C633)/60)</x:f>
      </x:c>
      <x:c r="G634" s="44" t="str">
        <x:f>IF(D634="","",EXP(-Configuracion!$B$4/Configuracion!$B$5*(1/AVERAGE(E633:E634)-1/(Configuracion!$B$3+273.15))))</x:f>
      </x:c>
      <x:c r="H634" s="44" t="str">
        <x:f>IF(D634="","",F634*G634)</x:f>
      </x:c>
      <x:c r="I634" s="44" t="str">
        <x:f>IF(D634="","",I633+H634)</x:f>
      </x:c>
      <x:c r="J634" s="46" t="str">
        <x:f>IF(D634="","",MIN(1,I634/Configuracion!$B$11))</x:f>
      </x:c>
      <x:c r="K634" s="48" t="str">
        <x:f>IF(D634="","",MAX(0,(Configuracion!$B$11-I634)/G634))</x:f>
      </x:c>
      <x:c r="L634" s="73" t="str">
        <x:f>IF(D634="","",C634+K634*60)</x:f>
      </x:c>
      <x:c r="M634" t="str">
        <x:f>IF(D634="","",IF(J634&gt;=Configuracion!$B$13,"DESLIZAR",IF(J634&gt;=Configuracion!$B$12,"PREPARARSE","NO DESLIZAR")))</x:f>
      </x:c>
      <x:c r="N634" s="41" t="str">
        <x:f>IF(D634="","",D634-$D$8)</x:f>
      </x:c>
      <x:c r="O634" s="46" t="str">
        <x:f>IF(D634="","",MAX(0,MIN(1,N634/Configuracion!$B$10)))</x:f>
      </x:c>
    </x:row>
    <x:row r="635">
      <x:c r="A635" s="34"/>
      <x:c r="B635" s="36"/>
      <x:c r="C635" s="72"/>
      <x:c r="D635" s="71"/>
      <x:c r="E635" s="41" t="str">
        <x:f>IF(D635="","",D635+273.15)</x:f>
      </x:c>
      <x:c r="F635" s="44" t="str">
        <x:f>IF(OR(C635="",D635="",C634=""),"",(C635-C634)/60)</x:f>
      </x:c>
      <x:c r="G635" s="44" t="str">
        <x:f>IF(D635="","",EXP(-Configuracion!$B$4/Configuracion!$B$5*(1/AVERAGE(E634:E635)-1/(Configuracion!$B$3+273.15))))</x:f>
      </x:c>
      <x:c r="H635" s="44" t="str">
        <x:f>IF(D635="","",F635*G635)</x:f>
      </x:c>
      <x:c r="I635" s="44" t="str">
        <x:f>IF(D635="","",I634+H635)</x:f>
      </x:c>
      <x:c r="J635" s="46" t="str">
        <x:f>IF(D635="","",MIN(1,I635/Configuracion!$B$11))</x:f>
      </x:c>
      <x:c r="K635" s="48" t="str">
        <x:f>IF(D635="","",MAX(0,(Configuracion!$B$11-I635)/G635))</x:f>
      </x:c>
      <x:c r="L635" s="73" t="str">
        <x:f>IF(D635="","",C635+K635*60)</x:f>
      </x:c>
      <x:c r="M635" t="str">
        <x:f>IF(D635="","",IF(J635&gt;=Configuracion!$B$13,"DESLIZAR",IF(J635&gt;=Configuracion!$B$12,"PREPARARSE","NO DESLIZAR")))</x:f>
      </x:c>
      <x:c r="N635" s="41" t="str">
        <x:f>IF(D635="","",D635-$D$8)</x:f>
      </x:c>
      <x:c r="O635" s="46" t="str">
        <x:f>IF(D635="","",MAX(0,MIN(1,N635/Configuracion!$B$10)))</x:f>
      </x:c>
    </x:row>
    <x:row r="636">
      <x:c r="A636" s="34"/>
      <x:c r="B636" s="36"/>
      <x:c r="C636" s="72"/>
      <x:c r="D636" s="71"/>
      <x:c r="E636" s="41" t="str">
        <x:f>IF(D636="","",D636+273.15)</x:f>
      </x:c>
      <x:c r="F636" s="44" t="str">
        <x:f>IF(OR(C636="",D636="",C635=""),"",(C636-C635)/60)</x:f>
      </x:c>
      <x:c r="G636" s="44" t="str">
        <x:f>IF(D636="","",EXP(-Configuracion!$B$4/Configuracion!$B$5*(1/AVERAGE(E635:E636)-1/(Configuracion!$B$3+273.15))))</x:f>
      </x:c>
      <x:c r="H636" s="44" t="str">
        <x:f>IF(D636="","",F636*G636)</x:f>
      </x:c>
      <x:c r="I636" s="44" t="str">
        <x:f>IF(D636="","",I635+H636)</x:f>
      </x:c>
      <x:c r="J636" s="46" t="str">
        <x:f>IF(D636="","",MIN(1,I636/Configuracion!$B$11))</x:f>
      </x:c>
      <x:c r="K636" s="48" t="str">
        <x:f>IF(D636="","",MAX(0,(Configuracion!$B$11-I636)/G636))</x:f>
      </x:c>
      <x:c r="L636" s="73" t="str">
        <x:f>IF(D636="","",C636+K636*60)</x:f>
      </x:c>
      <x:c r="M636" t="str">
        <x:f>IF(D636="","",IF(J636&gt;=Configuracion!$B$13,"DESLIZAR",IF(J636&gt;=Configuracion!$B$12,"PREPARARSE","NO DESLIZAR")))</x:f>
      </x:c>
      <x:c r="N636" s="41" t="str">
        <x:f>IF(D636="","",D636-$D$8)</x:f>
      </x:c>
      <x:c r="O636" s="46" t="str">
        <x:f>IF(D636="","",MAX(0,MIN(1,N636/Configuracion!$B$10)))</x:f>
      </x:c>
    </x:row>
    <x:row r="637">
      <x:c r="A637" s="34"/>
      <x:c r="B637" s="36"/>
      <x:c r="C637" s="72"/>
      <x:c r="D637" s="71"/>
      <x:c r="E637" s="41" t="str">
        <x:f>IF(D637="","",D637+273.15)</x:f>
      </x:c>
      <x:c r="F637" s="44" t="str">
        <x:f>IF(OR(C637="",D637="",C636=""),"",(C637-C636)/60)</x:f>
      </x:c>
      <x:c r="G637" s="44" t="str">
        <x:f>IF(D637="","",EXP(-Configuracion!$B$4/Configuracion!$B$5*(1/AVERAGE(E636:E637)-1/(Configuracion!$B$3+273.15))))</x:f>
      </x:c>
      <x:c r="H637" s="44" t="str">
        <x:f>IF(D637="","",F637*G637)</x:f>
      </x:c>
      <x:c r="I637" s="44" t="str">
        <x:f>IF(D637="","",I636+H637)</x:f>
      </x:c>
      <x:c r="J637" s="46" t="str">
        <x:f>IF(D637="","",MIN(1,I637/Configuracion!$B$11))</x:f>
      </x:c>
      <x:c r="K637" s="48" t="str">
        <x:f>IF(D637="","",MAX(0,(Configuracion!$B$11-I637)/G637))</x:f>
      </x:c>
      <x:c r="L637" s="73" t="str">
        <x:f>IF(D637="","",C637+K637*60)</x:f>
      </x:c>
      <x:c r="M637" t="str">
        <x:f>IF(D637="","",IF(J637&gt;=Configuracion!$B$13,"DESLIZAR",IF(J637&gt;=Configuracion!$B$12,"PREPARARSE","NO DESLIZAR")))</x:f>
      </x:c>
      <x:c r="N637" s="41" t="str">
        <x:f>IF(D637="","",D637-$D$8)</x:f>
      </x:c>
      <x:c r="O637" s="46" t="str">
        <x:f>IF(D637="","",MAX(0,MIN(1,N637/Configuracion!$B$10)))</x:f>
      </x:c>
    </x:row>
    <x:row r="638">
      <x:c r="A638" s="34"/>
      <x:c r="B638" s="36"/>
      <x:c r="C638" s="72"/>
      <x:c r="D638" s="71"/>
      <x:c r="E638" s="41" t="str">
        <x:f>IF(D638="","",D638+273.15)</x:f>
      </x:c>
      <x:c r="F638" s="44" t="str">
        <x:f>IF(OR(C638="",D638="",C637=""),"",(C638-C637)/60)</x:f>
      </x:c>
      <x:c r="G638" s="44" t="str">
        <x:f>IF(D638="","",EXP(-Configuracion!$B$4/Configuracion!$B$5*(1/AVERAGE(E637:E638)-1/(Configuracion!$B$3+273.15))))</x:f>
      </x:c>
      <x:c r="H638" s="44" t="str">
        <x:f>IF(D638="","",F638*G638)</x:f>
      </x:c>
      <x:c r="I638" s="44" t="str">
        <x:f>IF(D638="","",I637+H638)</x:f>
      </x:c>
      <x:c r="J638" s="46" t="str">
        <x:f>IF(D638="","",MIN(1,I638/Configuracion!$B$11))</x:f>
      </x:c>
      <x:c r="K638" s="48" t="str">
        <x:f>IF(D638="","",MAX(0,(Configuracion!$B$11-I638)/G638))</x:f>
      </x:c>
      <x:c r="L638" s="73" t="str">
        <x:f>IF(D638="","",C638+K638*60)</x:f>
      </x:c>
      <x:c r="M638" t="str">
        <x:f>IF(D638="","",IF(J638&gt;=Configuracion!$B$13,"DESLIZAR",IF(J638&gt;=Configuracion!$B$12,"PREPARARSE","NO DESLIZAR")))</x:f>
      </x:c>
      <x:c r="N638" s="41" t="str">
        <x:f>IF(D638="","",D638-$D$8)</x:f>
      </x:c>
      <x:c r="O638" s="46" t="str">
        <x:f>IF(D638="","",MAX(0,MIN(1,N638/Configuracion!$B$10)))</x:f>
      </x:c>
    </x:row>
    <x:row r="639">
      <x:c r="A639" s="34"/>
      <x:c r="B639" s="36"/>
      <x:c r="C639" s="72"/>
      <x:c r="D639" s="71"/>
      <x:c r="E639" s="41" t="str">
        <x:f>IF(D639="","",D639+273.15)</x:f>
      </x:c>
      <x:c r="F639" s="44" t="str">
        <x:f>IF(OR(C639="",D639="",C638=""),"",(C639-C638)/60)</x:f>
      </x:c>
      <x:c r="G639" s="44" t="str">
        <x:f>IF(D639="","",EXP(-Configuracion!$B$4/Configuracion!$B$5*(1/AVERAGE(E638:E639)-1/(Configuracion!$B$3+273.15))))</x:f>
      </x:c>
      <x:c r="H639" s="44" t="str">
        <x:f>IF(D639="","",F639*G639)</x:f>
      </x:c>
      <x:c r="I639" s="44" t="str">
        <x:f>IF(D639="","",I638+H639)</x:f>
      </x:c>
      <x:c r="J639" s="46" t="str">
        <x:f>IF(D639="","",MIN(1,I639/Configuracion!$B$11))</x:f>
      </x:c>
      <x:c r="K639" s="48" t="str">
        <x:f>IF(D639="","",MAX(0,(Configuracion!$B$11-I639)/G639))</x:f>
      </x:c>
      <x:c r="L639" s="73" t="str">
        <x:f>IF(D639="","",C639+K639*60)</x:f>
      </x:c>
      <x:c r="M639" t="str">
        <x:f>IF(D639="","",IF(J639&gt;=Configuracion!$B$13,"DESLIZAR",IF(J639&gt;=Configuracion!$B$12,"PREPARARSE","NO DESLIZAR")))</x:f>
      </x:c>
      <x:c r="N639" s="41" t="str">
        <x:f>IF(D639="","",D639-$D$8)</x:f>
      </x:c>
      <x:c r="O639" s="46" t="str">
        <x:f>IF(D639="","",MAX(0,MIN(1,N639/Configuracion!$B$10)))</x:f>
      </x:c>
    </x:row>
    <x:row r="640">
      <x:c r="A640" s="34"/>
      <x:c r="B640" s="36"/>
      <x:c r="C640" s="72"/>
      <x:c r="D640" s="71"/>
      <x:c r="E640" s="41" t="str">
        <x:f>IF(D640="","",D640+273.15)</x:f>
      </x:c>
      <x:c r="F640" s="44" t="str">
        <x:f>IF(OR(C640="",D640="",C639=""),"",(C640-C639)/60)</x:f>
      </x:c>
      <x:c r="G640" s="44" t="str">
        <x:f>IF(D640="","",EXP(-Configuracion!$B$4/Configuracion!$B$5*(1/AVERAGE(E639:E640)-1/(Configuracion!$B$3+273.15))))</x:f>
      </x:c>
      <x:c r="H640" s="44" t="str">
        <x:f>IF(D640="","",F640*G640)</x:f>
      </x:c>
      <x:c r="I640" s="44" t="str">
        <x:f>IF(D640="","",I639+H640)</x:f>
      </x:c>
      <x:c r="J640" s="46" t="str">
        <x:f>IF(D640="","",MIN(1,I640/Configuracion!$B$11))</x:f>
      </x:c>
      <x:c r="K640" s="48" t="str">
        <x:f>IF(D640="","",MAX(0,(Configuracion!$B$11-I640)/G640))</x:f>
      </x:c>
      <x:c r="L640" s="73" t="str">
        <x:f>IF(D640="","",C640+K640*60)</x:f>
      </x:c>
      <x:c r="M640" t="str">
        <x:f>IF(D640="","",IF(J640&gt;=Configuracion!$B$13,"DESLIZAR",IF(J640&gt;=Configuracion!$B$12,"PREPARARSE","NO DESLIZAR")))</x:f>
      </x:c>
      <x:c r="N640" s="41" t="str">
        <x:f>IF(D640="","",D640-$D$8)</x:f>
      </x:c>
      <x:c r="O640" s="46" t="str">
        <x:f>IF(D640="","",MAX(0,MIN(1,N640/Configuracion!$B$10)))</x:f>
      </x:c>
    </x:row>
    <x:row r="641">
      <x:c r="A641" s="34"/>
      <x:c r="B641" s="36"/>
      <x:c r="C641" s="72"/>
      <x:c r="D641" s="71"/>
      <x:c r="E641" s="41" t="str">
        <x:f>IF(D641="","",D641+273.15)</x:f>
      </x:c>
      <x:c r="F641" s="44" t="str">
        <x:f>IF(OR(C641="",D641="",C640=""),"",(C641-C640)/60)</x:f>
      </x:c>
      <x:c r="G641" s="44" t="str">
        <x:f>IF(D641="","",EXP(-Configuracion!$B$4/Configuracion!$B$5*(1/AVERAGE(E640:E641)-1/(Configuracion!$B$3+273.15))))</x:f>
      </x:c>
      <x:c r="H641" s="44" t="str">
        <x:f>IF(D641="","",F641*G641)</x:f>
      </x:c>
      <x:c r="I641" s="44" t="str">
        <x:f>IF(D641="","",I640+H641)</x:f>
      </x:c>
      <x:c r="J641" s="46" t="str">
        <x:f>IF(D641="","",MIN(1,I641/Configuracion!$B$11))</x:f>
      </x:c>
      <x:c r="K641" s="48" t="str">
        <x:f>IF(D641="","",MAX(0,(Configuracion!$B$11-I641)/G641))</x:f>
      </x:c>
      <x:c r="L641" s="73" t="str">
        <x:f>IF(D641="","",C641+K641*60)</x:f>
      </x:c>
      <x:c r="M641" t="str">
        <x:f>IF(D641="","",IF(J641&gt;=Configuracion!$B$13,"DESLIZAR",IF(J641&gt;=Configuracion!$B$12,"PREPARARSE","NO DESLIZAR")))</x:f>
      </x:c>
      <x:c r="N641" s="41" t="str">
        <x:f>IF(D641="","",D641-$D$8)</x:f>
      </x:c>
      <x:c r="O641" s="46" t="str">
        <x:f>IF(D641="","",MAX(0,MIN(1,N641/Configuracion!$B$10)))</x:f>
      </x:c>
    </x:row>
    <x:row r="642">
      <x:c r="A642" s="34"/>
      <x:c r="B642" s="36"/>
      <x:c r="C642" s="72"/>
      <x:c r="D642" s="71"/>
      <x:c r="E642" s="41" t="str">
        <x:f>IF(D642="","",D642+273.15)</x:f>
      </x:c>
      <x:c r="F642" s="44" t="str">
        <x:f>IF(OR(C642="",D642="",C641=""),"",(C642-C641)/60)</x:f>
      </x:c>
      <x:c r="G642" s="44" t="str">
        <x:f>IF(D642="","",EXP(-Configuracion!$B$4/Configuracion!$B$5*(1/AVERAGE(E641:E642)-1/(Configuracion!$B$3+273.15))))</x:f>
      </x:c>
      <x:c r="H642" s="44" t="str">
        <x:f>IF(D642="","",F642*G642)</x:f>
      </x:c>
      <x:c r="I642" s="44" t="str">
        <x:f>IF(D642="","",I641+H642)</x:f>
      </x:c>
      <x:c r="J642" s="46" t="str">
        <x:f>IF(D642="","",MIN(1,I642/Configuracion!$B$11))</x:f>
      </x:c>
      <x:c r="K642" s="48" t="str">
        <x:f>IF(D642="","",MAX(0,(Configuracion!$B$11-I642)/G642))</x:f>
      </x:c>
      <x:c r="L642" s="73" t="str">
        <x:f>IF(D642="","",C642+K642*60)</x:f>
      </x:c>
      <x:c r="M642" t="str">
        <x:f>IF(D642="","",IF(J642&gt;=Configuracion!$B$13,"DESLIZAR",IF(J642&gt;=Configuracion!$B$12,"PREPARARSE","NO DESLIZAR")))</x:f>
      </x:c>
      <x:c r="N642" s="41" t="str">
        <x:f>IF(D642="","",D642-$D$8)</x:f>
      </x:c>
      <x:c r="O642" s="46" t="str">
        <x:f>IF(D642="","",MAX(0,MIN(1,N642/Configuracion!$B$10)))</x:f>
      </x:c>
    </x:row>
    <x:row r="643">
      <x:c r="A643" s="34"/>
      <x:c r="B643" s="36"/>
      <x:c r="C643" s="72"/>
      <x:c r="D643" s="71"/>
      <x:c r="E643" s="41" t="str">
        <x:f>IF(D643="","",D643+273.15)</x:f>
      </x:c>
      <x:c r="F643" s="44" t="str">
        <x:f>IF(OR(C643="",D643="",C642=""),"",(C643-C642)/60)</x:f>
      </x:c>
      <x:c r="G643" s="44" t="str">
        <x:f>IF(D643="","",EXP(-Configuracion!$B$4/Configuracion!$B$5*(1/AVERAGE(E642:E643)-1/(Configuracion!$B$3+273.15))))</x:f>
      </x:c>
      <x:c r="H643" s="44" t="str">
        <x:f>IF(D643="","",F643*G643)</x:f>
      </x:c>
      <x:c r="I643" s="44" t="str">
        <x:f>IF(D643="","",I642+H643)</x:f>
      </x:c>
      <x:c r="J643" s="46" t="str">
        <x:f>IF(D643="","",MIN(1,I643/Configuracion!$B$11))</x:f>
      </x:c>
      <x:c r="K643" s="48" t="str">
        <x:f>IF(D643="","",MAX(0,(Configuracion!$B$11-I643)/G643))</x:f>
      </x:c>
      <x:c r="L643" s="73" t="str">
        <x:f>IF(D643="","",C643+K643*60)</x:f>
      </x:c>
      <x:c r="M643" t="str">
        <x:f>IF(D643="","",IF(J643&gt;=Configuracion!$B$13,"DESLIZAR",IF(J643&gt;=Configuracion!$B$12,"PREPARARSE","NO DESLIZAR")))</x:f>
      </x:c>
      <x:c r="N643" s="41" t="str">
        <x:f>IF(D643="","",D643-$D$8)</x:f>
      </x:c>
      <x:c r="O643" s="46" t="str">
        <x:f>IF(D643="","",MAX(0,MIN(1,N643/Configuracion!$B$10)))</x:f>
      </x:c>
    </x:row>
    <x:row r="644">
      <x:c r="A644" s="34"/>
      <x:c r="B644" s="36"/>
      <x:c r="C644" s="72"/>
      <x:c r="D644" s="71"/>
      <x:c r="E644" s="41" t="str">
        <x:f>IF(D644="","",D644+273.15)</x:f>
      </x:c>
      <x:c r="F644" s="44" t="str">
        <x:f>IF(OR(C644="",D644="",C643=""),"",(C644-C643)/60)</x:f>
      </x:c>
      <x:c r="G644" s="44" t="str">
        <x:f>IF(D644="","",EXP(-Configuracion!$B$4/Configuracion!$B$5*(1/AVERAGE(E643:E644)-1/(Configuracion!$B$3+273.15))))</x:f>
      </x:c>
      <x:c r="H644" s="44" t="str">
        <x:f>IF(D644="","",F644*G644)</x:f>
      </x:c>
      <x:c r="I644" s="44" t="str">
        <x:f>IF(D644="","",I643+H644)</x:f>
      </x:c>
      <x:c r="J644" s="46" t="str">
        <x:f>IF(D644="","",MIN(1,I644/Configuracion!$B$11))</x:f>
      </x:c>
      <x:c r="K644" s="48" t="str">
        <x:f>IF(D644="","",MAX(0,(Configuracion!$B$11-I644)/G644))</x:f>
      </x:c>
      <x:c r="L644" s="73" t="str">
        <x:f>IF(D644="","",C644+K644*60)</x:f>
      </x:c>
      <x:c r="M644" t="str">
        <x:f>IF(D644="","",IF(J644&gt;=Configuracion!$B$13,"DESLIZAR",IF(J644&gt;=Configuracion!$B$12,"PREPARARSE","NO DESLIZAR")))</x:f>
      </x:c>
      <x:c r="N644" s="41" t="str">
        <x:f>IF(D644="","",D644-$D$8)</x:f>
      </x:c>
      <x:c r="O644" s="46" t="str">
        <x:f>IF(D644="","",MAX(0,MIN(1,N644/Configuracion!$B$10)))</x:f>
      </x:c>
    </x:row>
    <x:row r="645">
      <x:c r="A645" s="34"/>
      <x:c r="B645" s="36"/>
      <x:c r="C645" s="72"/>
      <x:c r="D645" s="71"/>
      <x:c r="E645" s="41" t="str">
        <x:f>IF(D645="","",D645+273.15)</x:f>
      </x:c>
      <x:c r="F645" s="44" t="str">
        <x:f>IF(OR(C645="",D645="",C644=""),"",(C645-C644)/60)</x:f>
      </x:c>
      <x:c r="G645" s="44" t="str">
        <x:f>IF(D645="","",EXP(-Configuracion!$B$4/Configuracion!$B$5*(1/AVERAGE(E644:E645)-1/(Configuracion!$B$3+273.15))))</x:f>
      </x:c>
      <x:c r="H645" s="44" t="str">
        <x:f>IF(D645="","",F645*G645)</x:f>
      </x:c>
      <x:c r="I645" s="44" t="str">
        <x:f>IF(D645="","",I644+H645)</x:f>
      </x:c>
      <x:c r="J645" s="46" t="str">
        <x:f>IF(D645="","",MIN(1,I645/Configuracion!$B$11))</x:f>
      </x:c>
      <x:c r="K645" s="48" t="str">
        <x:f>IF(D645="","",MAX(0,(Configuracion!$B$11-I645)/G645))</x:f>
      </x:c>
      <x:c r="L645" s="73" t="str">
        <x:f>IF(D645="","",C645+K645*60)</x:f>
      </x:c>
      <x:c r="M645" t="str">
        <x:f>IF(D645="","",IF(J645&gt;=Configuracion!$B$13,"DESLIZAR",IF(J645&gt;=Configuracion!$B$12,"PREPARARSE","NO DESLIZAR")))</x:f>
      </x:c>
      <x:c r="N645" s="41" t="str">
        <x:f>IF(D645="","",D645-$D$8)</x:f>
      </x:c>
      <x:c r="O645" s="46" t="str">
        <x:f>IF(D645="","",MAX(0,MIN(1,N645/Configuracion!$B$10)))</x:f>
      </x:c>
    </x:row>
    <x:row r="646">
      <x:c r="A646" s="34"/>
      <x:c r="B646" s="36"/>
      <x:c r="C646" s="72"/>
      <x:c r="D646" s="71"/>
      <x:c r="E646" s="41" t="str">
        <x:f>IF(D646="","",D646+273.15)</x:f>
      </x:c>
      <x:c r="F646" s="44" t="str">
        <x:f>IF(OR(C646="",D646="",C645=""),"",(C646-C645)/60)</x:f>
      </x:c>
      <x:c r="G646" s="44" t="str">
        <x:f>IF(D646="","",EXP(-Configuracion!$B$4/Configuracion!$B$5*(1/AVERAGE(E645:E646)-1/(Configuracion!$B$3+273.15))))</x:f>
      </x:c>
      <x:c r="H646" s="44" t="str">
        <x:f>IF(D646="","",F646*G646)</x:f>
      </x:c>
      <x:c r="I646" s="44" t="str">
        <x:f>IF(D646="","",I645+H646)</x:f>
      </x:c>
      <x:c r="J646" s="46" t="str">
        <x:f>IF(D646="","",MIN(1,I646/Configuracion!$B$11))</x:f>
      </x:c>
      <x:c r="K646" s="48" t="str">
        <x:f>IF(D646="","",MAX(0,(Configuracion!$B$11-I646)/G646))</x:f>
      </x:c>
      <x:c r="L646" s="73" t="str">
        <x:f>IF(D646="","",C646+K646*60)</x:f>
      </x:c>
      <x:c r="M646" t="str">
        <x:f>IF(D646="","",IF(J646&gt;=Configuracion!$B$13,"DESLIZAR",IF(J646&gt;=Configuracion!$B$12,"PREPARARSE","NO DESLIZAR")))</x:f>
      </x:c>
      <x:c r="N646" s="41" t="str">
        <x:f>IF(D646="","",D646-$D$8)</x:f>
      </x:c>
      <x:c r="O646" s="46" t="str">
        <x:f>IF(D646="","",MAX(0,MIN(1,N646/Configuracion!$B$10)))</x:f>
      </x:c>
    </x:row>
    <x:row r="647">
      <x:c r="A647" s="34"/>
      <x:c r="B647" s="36"/>
      <x:c r="C647" s="72"/>
      <x:c r="D647" s="71"/>
      <x:c r="E647" s="41" t="str">
        <x:f>IF(D647="","",D647+273.15)</x:f>
      </x:c>
      <x:c r="F647" s="44" t="str">
        <x:f>IF(OR(C647="",D647="",C646=""),"",(C647-C646)/60)</x:f>
      </x:c>
      <x:c r="G647" s="44" t="str">
        <x:f>IF(D647="","",EXP(-Configuracion!$B$4/Configuracion!$B$5*(1/AVERAGE(E646:E647)-1/(Configuracion!$B$3+273.15))))</x:f>
      </x:c>
      <x:c r="H647" s="44" t="str">
        <x:f>IF(D647="","",F647*G647)</x:f>
      </x:c>
      <x:c r="I647" s="44" t="str">
        <x:f>IF(D647="","",I646+H647)</x:f>
      </x:c>
      <x:c r="J647" s="46" t="str">
        <x:f>IF(D647="","",MIN(1,I647/Configuracion!$B$11))</x:f>
      </x:c>
      <x:c r="K647" s="48" t="str">
        <x:f>IF(D647="","",MAX(0,(Configuracion!$B$11-I647)/G647))</x:f>
      </x:c>
      <x:c r="L647" s="73" t="str">
        <x:f>IF(D647="","",C647+K647*60)</x:f>
      </x:c>
      <x:c r="M647" t="str">
        <x:f>IF(D647="","",IF(J647&gt;=Configuracion!$B$13,"DESLIZAR",IF(J647&gt;=Configuracion!$B$12,"PREPARARSE","NO DESLIZAR")))</x:f>
      </x:c>
      <x:c r="N647" s="41" t="str">
        <x:f>IF(D647="","",D647-$D$8)</x:f>
      </x:c>
      <x:c r="O647" s="46" t="str">
        <x:f>IF(D647="","",MAX(0,MIN(1,N647/Configuracion!$B$10)))</x:f>
      </x:c>
    </x:row>
    <x:row r="648">
      <x:c r="A648" s="34"/>
      <x:c r="B648" s="36"/>
      <x:c r="C648" s="72"/>
      <x:c r="D648" s="71"/>
      <x:c r="E648" s="41" t="str">
        <x:f>IF(D648="","",D648+273.15)</x:f>
      </x:c>
      <x:c r="F648" s="44" t="str">
        <x:f>IF(OR(C648="",D648="",C647=""),"",(C648-C647)/60)</x:f>
      </x:c>
      <x:c r="G648" s="44" t="str">
        <x:f>IF(D648="","",EXP(-Configuracion!$B$4/Configuracion!$B$5*(1/AVERAGE(E647:E648)-1/(Configuracion!$B$3+273.15))))</x:f>
      </x:c>
      <x:c r="H648" s="44" t="str">
        <x:f>IF(D648="","",F648*G648)</x:f>
      </x:c>
      <x:c r="I648" s="44" t="str">
        <x:f>IF(D648="","",I647+H648)</x:f>
      </x:c>
      <x:c r="J648" s="46" t="str">
        <x:f>IF(D648="","",MIN(1,I648/Configuracion!$B$11))</x:f>
      </x:c>
      <x:c r="K648" s="48" t="str">
        <x:f>IF(D648="","",MAX(0,(Configuracion!$B$11-I648)/G648))</x:f>
      </x:c>
      <x:c r="L648" s="73" t="str">
        <x:f>IF(D648="","",C648+K648*60)</x:f>
      </x:c>
      <x:c r="M648" t="str">
        <x:f>IF(D648="","",IF(J648&gt;=Configuracion!$B$13,"DESLIZAR",IF(J648&gt;=Configuracion!$B$12,"PREPARARSE","NO DESLIZAR")))</x:f>
      </x:c>
      <x:c r="N648" s="41" t="str">
        <x:f>IF(D648="","",D648-$D$8)</x:f>
      </x:c>
      <x:c r="O648" s="46" t="str">
        <x:f>IF(D648="","",MAX(0,MIN(1,N648/Configuracion!$B$10)))</x:f>
      </x:c>
    </x:row>
    <x:row r="649">
      <x:c r="A649" s="34"/>
      <x:c r="B649" s="36"/>
      <x:c r="C649" s="72"/>
      <x:c r="D649" s="71"/>
      <x:c r="E649" s="41" t="str">
        <x:f>IF(D649="","",D649+273.15)</x:f>
      </x:c>
      <x:c r="F649" s="44" t="str">
        <x:f>IF(OR(C649="",D649="",C648=""),"",(C649-C648)/60)</x:f>
      </x:c>
      <x:c r="G649" s="44" t="str">
        <x:f>IF(D649="","",EXP(-Configuracion!$B$4/Configuracion!$B$5*(1/AVERAGE(E648:E649)-1/(Configuracion!$B$3+273.15))))</x:f>
      </x:c>
      <x:c r="H649" s="44" t="str">
        <x:f>IF(D649="","",F649*G649)</x:f>
      </x:c>
      <x:c r="I649" s="44" t="str">
        <x:f>IF(D649="","",I648+H649)</x:f>
      </x:c>
      <x:c r="J649" s="46" t="str">
        <x:f>IF(D649="","",MIN(1,I649/Configuracion!$B$11))</x:f>
      </x:c>
      <x:c r="K649" s="48" t="str">
        <x:f>IF(D649="","",MAX(0,(Configuracion!$B$11-I649)/G649))</x:f>
      </x:c>
      <x:c r="L649" s="73" t="str">
        <x:f>IF(D649="","",C649+K649*60)</x:f>
      </x:c>
      <x:c r="M649" t="str">
        <x:f>IF(D649="","",IF(J649&gt;=Configuracion!$B$13,"DESLIZAR",IF(J649&gt;=Configuracion!$B$12,"PREPARARSE","NO DESLIZAR")))</x:f>
      </x:c>
      <x:c r="N649" s="41" t="str">
        <x:f>IF(D649="","",D649-$D$8)</x:f>
      </x:c>
      <x:c r="O649" s="46" t="str">
        <x:f>IF(D649="","",MAX(0,MIN(1,N649/Configuracion!$B$10)))</x:f>
      </x:c>
    </x:row>
    <x:row r="650">
      <x:c r="A650" s="34"/>
      <x:c r="B650" s="36"/>
      <x:c r="C650" s="72"/>
      <x:c r="D650" s="71"/>
      <x:c r="E650" s="41" t="str">
        <x:f>IF(D650="","",D650+273.15)</x:f>
      </x:c>
      <x:c r="F650" s="44" t="str">
        <x:f>IF(OR(C650="",D650="",C649=""),"",(C650-C649)/60)</x:f>
      </x:c>
      <x:c r="G650" s="44" t="str">
        <x:f>IF(D650="","",EXP(-Configuracion!$B$4/Configuracion!$B$5*(1/AVERAGE(E649:E650)-1/(Configuracion!$B$3+273.15))))</x:f>
      </x:c>
      <x:c r="H650" s="44" t="str">
        <x:f>IF(D650="","",F650*G650)</x:f>
      </x:c>
      <x:c r="I650" s="44" t="str">
        <x:f>IF(D650="","",I649+H650)</x:f>
      </x:c>
      <x:c r="J650" s="46" t="str">
        <x:f>IF(D650="","",MIN(1,I650/Configuracion!$B$11))</x:f>
      </x:c>
      <x:c r="K650" s="48" t="str">
        <x:f>IF(D650="","",MAX(0,(Configuracion!$B$11-I650)/G650))</x:f>
      </x:c>
      <x:c r="L650" s="73" t="str">
        <x:f>IF(D650="","",C650+K650*60)</x:f>
      </x:c>
      <x:c r="M650" t="str">
        <x:f>IF(D650="","",IF(J650&gt;=Configuracion!$B$13,"DESLIZAR",IF(J650&gt;=Configuracion!$B$12,"PREPARARSE","NO DESLIZAR")))</x:f>
      </x:c>
      <x:c r="N650" s="41" t="str">
        <x:f>IF(D650="","",D650-$D$8)</x:f>
      </x:c>
      <x:c r="O650" s="46" t="str">
        <x:f>IF(D650="","",MAX(0,MIN(1,N650/Configuracion!$B$10)))</x:f>
      </x:c>
    </x:row>
    <x:row r="651">
      <x:c r="A651" s="34"/>
      <x:c r="B651" s="36"/>
      <x:c r="C651" s="72"/>
      <x:c r="D651" s="71"/>
      <x:c r="E651" s="41" t="str">
        <x:f>IF(D651="","",D651+273.15)</x:f>
      </x:c>
      <x:c r="F651" s="44" t="str">
        <x:f>IF(OR(C651="",D651="",C650=""),"",(C651-C650)/60)</x:f>
      </x:c>
      <x:c r="G651" s="44" t="str">
        <x:f>IF(D651="","",EXP(-Configuracion!$B$4/Configuracion!$B$5*(1/AVERAGE(E650:E651)-1/(Configuracion!$B$3+273.15))))</x:f>
      </x:c>
      <x:c r="H651" s="44" t="str">
        <x:f>IF(D651="","",F651*G651)</x:f>
      </x:c>
      <x:c r="I651" s="44" t="str">
        <x:f>IF(D651="","",I650+H651)</x:f>
      </x:c>
      <x:c r="J651" s="46" t="str">
        <x:f>IF(D651="","",MIN(1,I651/Configuracion!$B$11))</x:f>
      </x:c>
      <x:c r="K651" s="48" t="str">
        <x:f>IF(D651="","",MAX(0,(Configuracion!$B$11-I651)/G651))</x:f>
      </x:c>
      <x:c r="L651" s="73" t="str">
        <x:f>IF(D651="","",C651+K651*60)</x:f>
      </x:c>
      <x:c r="M651" t="str">
        <x:f>IF(D651="","",IF(J651&gt;=Configuracion!$B$13,"DESLIZAR",IF(J651&gt;=Configuracion!$B$12,"PREPARARSE","NO DESLIZAR")))</x:f>
      </x:c>
      <x:c r="N651" s="41" t="str">
        <x:f>IF(D651="","",D651-$D$8)</x:f>
      </x:c>
      <x:c r="O651" s="46" t="str">
        <x:f>IF(D651="","",MAX(0,MIN(1,N651/Configuracion!$B$10)))</x:f>
      </x:c>
    </x:row>
    <x:row r="652">
      <x:c r="A652" s="34"/>
      <x:c r="B652" s="36"/>
      <x:c r="C652" s="72"/>
      <x:c r="D652" s="71"/>
      <x:c r="E652" s="41" t="str">
        <x:f>IF(D652="","",D652+273.15)</x:f>
      </x:c>
      <x:c r="F652" s="44" t="str">
        <x:f>IF(OR(C652="",D652="",C651=""),"",(C652-C651)/60)</x:f>
      </x:c>
      <x:c r="G652" s="44" t="str">
        <x:f>IF(D652="","",EXP(-Configuracion!$B$4/Configuracion!$B$5*(1/AVERAGE(E651:E652)-1/(Configuracion!$B$3+273.15))))</x:f>
      </x:c>
      <x:c r="H652" s="44" t="str">
        <x:f>IF(D652="","",F652*G652)</x:f>
      </x:c>
      <x:c r="I652" s="44" t="str">
        <x:f>IF(D652="","",I651+H652)</x:f>
      </x:c>
      <x:c r="J652" s="46" t="str">
        <x:f>IF(D652="","",MIN(1,I652/Configuracion!$B$11))</x:f>
      </x:c>
      <x:c r="K652" s="48" t="str">
        <x:f>IF(D652="","",MAX(0,(Configuracion!$B$11-I652)/G652))</x:f>
      </x:c>
      <x:c r="L652" s="73" t="str">
        <x:f>IF(D652="","",C652+K652*60)</x:f>
      </x:c>
      <x:c r="M652" t="str">
        <x:f>IF(D652="","",IF(J652&gt;=Configuracion!$B$13,"DESLIZAR",IF(J652&gt;=Configuracion!$B$12,"PREPARARSE","NO DESLIZAR")))</x:f>
      </x:c>
      <x:c r="N652" s="41" t="str">
        <x:f>IF(D652="","",D652-$D$8)</x:f>
      </x:c>
      <x:c r="O652" s="46" t="str">
        <x:f>IF(D652="","",MAX(0,MIN(1,N652/Configuracion!$B$10)))</x:f>
      </x:c>
    </x:row>
    <x:row r="653">
      <x:c r="A653" s="34"/>
      <x:c r="B653" s="36"/>
      <x:c r="C653" s="72"/>
      <x:c r="D653" s="71"/>
      <x:c r="E653" s="41" t="str">
        <x:f>IF(D653="","",D653+273.15)</x:f>
      </x:c>
      <x:c r="F653" s="44" t="str">
        <x:f>IF(OR(C653="",D653="",C652=""),"",(C653-C652)/60)</x:f>
      </x:c>
      <x:c r="G653" s="44" t="str">
        <x:f>IF(D653="","",EXP(-Configuracion!$B$4/Configuracion!$B$5*(1/AVERAGE(E652:E653)-1/(Configuracion!$B$3+273.15))))</x:f>
      </x:c>
      <x:c r="H653" s="44" t="str">
        <x:f>IF(D653="","",F653*G653)</x:f>
      </x:c>
      <x:c r="I653" s="44" t="str">
        <x:f>IF(D653="","",I652+H653)</x:f>
      </x:c>
      <x:c r="J653" s="46" t="str">
        <x:f>IF(D653="","",MIN(1,I653/Configuracion!$B$11))</x:f>
      </x:c>
      <x:c r="K653" s="48" t="str">
        <x:f>IF(D653="","",MAX(0,(Configuracion!$B$11-I653)/G653))</x:f>
      </x:c>
      <x:c r="L653" s="73" t="str">
        <x:f>IF(D653="","",C653+K653*60)</x:f>
      </x:c>
      <x:c r="M653" t="str">
        <x:f>IF(D653="","",IF(J653&gt;=Configuracion!$B$13,"DESLIZAR",IF(J653&gt;=Configuracion!$B$12,"PREPARARSE","NO DESLIZAR")))</x:f>
      </x:c>
      <x:c r="N653" s="41" t="str">
        <x:f>IF(D653="","",D653-$D$8)</x:f>
      </x:c>
      <x:c r="O653" s="46" t="str">
        <x:f>IF(D653="","",MAX(0,MIN(1,N653/Configuracion!$B$10)))</x:f>
      </x:c>
    </x:row>
    <x:row r="654">
      <x:c r="A654" s="34"/>
      <x:c r="B654" s="36"/>
      <x:c r="C654" s="72"/>
      <x:c r="D654" s="71"/>
      <x:c r="E654" s="41" t="str">
        <x:f>IF(D654="","",D654+273.15)</x:f>
      </x:c>
      <x:c r="F654" s="44" t="str">
        <x:f>IF(OR(C654="",D654="",C653=""),"",(C654-C653)/60)</x:f>
      </x:c>
      <x:c r="G654" s="44" t="str">
        <x:f>IF(D654="","",EXP(-Configuracion!$B$4/Configuracion!$B$5*(1/AVERAGE(E653:E654)-1/(Configuracion!$B$3+273.15))))</x:f>
      </x:c>
      <x:c r="H654" s="44" t="str">
        <x:f>IF(D654="","",F654*G654)</x:f>
      </x:c>
      <x:c r="I654" s="44" t="str">
        <x:f>IF(D654="","",I653+H654)</x:f>
      </x:c>
      <x:c r="J654" s="46" t="str">
        <x:f>IF(D654="","",MIN(1,I654/Configuracion!$B$11))</x:f>
      </x:c>
      <x:c r="K654" s="48" t="str">
        <x:f>IF(D654="","",MAX(0,(Configuracion!$B$11-I654)/G654))</x:f>
      </x:c>
      <x:c r="L654" s="73" t="str">
        <x:f>IF(D654="","",C654+K654*60)</x:f>
      </x:c>
      <x:c r="M654" t="str">
        <x:f>IF(D654="","",IF(J654&gt;=Configuracion!$B$13,"DESLIZAR",IF(J654&gt;=Configuracion!$B$12,"PREPARARSE","NO DESLIZAR")))</x:f>
      </x:c>
      <x:c r="N654" s="41" t="str">
        <x:f>IF(D654="","",D654-$D$8)</x:f>
      </x:c>
      <x:c r="O654" s="46" t="str">
        <x:f>IF(D654="","",MAX(0,MIN(1,N654/Configuracion!$B$10)))</x:f>
      </x:c>
    </x:row>
    <x:row r="655">
      <x:c r="A655" s="34"/>
      <x:c r="B655" s="36"/>
      <x:c r="C655" s="72"/>
      <x:c r="D655" s="71"/>
      <x:c r="E655" s="41" t="str">
        <x:f>IF(D655="","",D655+273.15)</x:f>
      </x:c>
      <x:c r="F655" s="44" t="str">
        <x:f>IF(OR(C655="",D655="",C654=""),"",(C655-C654)/60)</x:f>
      </x:c>
      <x:c r="G655" s="44" t="str">
        <x:f>IF(D655="","",EXP(-Configuracion!$B$4/Configuracion!$B$5*(1/AVERAGE(E654:E655)-1/(Configuracion!$B$3+273.15))))</x:f>
      </x:c>
      <x:c r="H655" s="44" t="str">
        <x:f>IF(D655="","",F655*G655)</x:f>
      </x:c>
      <x:c r="I655" s="44" t="str">
        <x:f>IF(D655="","",I654+H655)</x:f>
      </x:c>
      <x:c r="J655" s="46" t="str">
        <x:f>IF(D655="","",MIN(1,I655/Configuracion!$B$11))</x:f>
      </x:c>
      <x:c r="K655" s="48" t="str">
        <x:f>IF(D655="","",MAX(0,(Configuracion!$B$11-I655)/G655))</x:f>
      </x:c>
      <x:c r="L655" s="73" t="str">
        <x:f>IF(D655="","",C655+K655*60)</x:f>
      </x:c>
      <x:c r="M655" t="str">
        <x:f>IF(D655="","",IF(J655&gt;=Configuracion!$B$13,"DESLIZAR",IF(J655&gt;=Configuracion!$B$12,"PREPARARSE","NO DESLIZAR")))</x:f>
      </x:c>
      <x:c r="N655" s="41" t="str">
        <x:f>IF(D655="","",D655-$D$8)</x:f>
      </x:c>
      <x:c r="O655" s="46" t="str">
        <x:f>IF(D655="","",MAX(0,MIN(1,N655/Configuracion!$B$10)))</x:f>
      </x:c>
    </x:row>
    <x:row r="656">
      <x:c r="A656" s="34"/>
      <x:c r="B656" s="36"/>
      <x:c r="C656" s="72"/>
      <x:c r="D656" s="71"/>
      <x:c r="E656" s="41" t="str">
        <x:f>IF(D656="","",D656+273.15)</x:f>
      </x:c>
      <x:c r="F656" s="44" t="str">
        <x:f>IF(OR(C656="",D656="",C655=""),"",(C656-C655)/60)</x:f>
      </x:c>
      <x:c r="G656" s="44" t="str">
        <x:f>IF(D656="","",EXP(-Configuracion!$B$4/Configuracion!$B$5*(1/AVERAGE(E655:E656)-1/(Configuracion!$B$3+273.15))))</x:f>
      </x:c>
      <x:c r="H656" s="44" t="str">
        <x:f>IF(D656="","",F656*G656)</x:f>
      </x:c>
      <x:c r="I656" s="44" t="str">
        <x:f>IF(D656="","",I655+H656)</x:f>
      </x:c>
      <x:c r="J656" s="46" t="str">
        <x:f>IF(D656="","",MIN(1,I656/Configuracion!$B$11))</x:f>
      </x:c>
      <x:c r="K656" s="48" t="str">
        <x:f>IF(D656="","",MAX(0,(Configuracion!$B$11-I656)/G656))</x:f>
      </x:c>
      <x:c r="L656" s="73" t="str">
        <x:f>IF(D656="","",C656+K656*60)</x:f>
      </x:c>
      <x:c r="M656" t="str">
        <x:f>IF(D656="","",IF(J656&gt;=Configuracion!$B$13,"DESLIZAR",IF(J656&gt;=Configuracion!$B$12,"PREPARARSE","NO DESLIZAR")))</x:f>
      </x:c>
      <x:c r="N656" s="41" t="str">
        <x:f>IF(D656="","",D656-$D$8)</x:f>
      </x:c>
      <x:c r="O656" s="46" t="str">
        <x:f>IF(D656="","",MAX(0,MIN(1,N656/Configuracion!$B$10)))</x:f>
      </x:c>
    </x:row>
    <x:row r="657">
      <x:c r="A657" s="34"/>
      <x:c r="B657" s="36"/>
      <x:c r="C657" s="72"/>
      <x:c r="D657" s="71"/>
      <x:c r="E657" s="41" t="str">
        <x:f>IF(D657="","",D657+273.15)</x:f>
      </x:c>
      <x:c r="F657" s="44" t="str">
        <x:f>IF(OR(C657="",D657="",C656=""),"",(C657-C656)/60)</x:f>
      </x:c>
      <x:c r="G657" s="44" t="str">
        <x:f>IF(D657="","",EXP(-Configuracion!$B$4/Configuracion!$B$5*(1/AVERAGE(E656:E657)-1/(Configuracion!$B$3+273.15))))</x:f>
      </x:c>
      <x:c r="H657" s="44" t="str">
        <x:f>IF(D657="","",F657*G657)</x:f>
      </x:c>
      <x:c r="I657" s="44" t="str">
        <x:f>IF(D657="","",I656+H657)</x:f>
      </x:c>
      <x:c r="J657" s="46" t="str">
        <x:f>IF(D657="","",MIN(1,I657/Configuracion!$B$11))</x:f>
      </x:c>
      <x:c r="K657" s="48" t="str">
        <x:f>IF(D657="","",MAX(0,(Configuracion!$B$11-I657)/G657))</x:f>
      </x:c>
      <x:c r="L657" s="73" t="str">
        <x:f>IF(D657="","",C657+K657*60)</x:f>
      </x:c>
      <x:c r="M657" t="str">
        <x:f>IF(D657="","",IF(J657&gt;=Configuracion!$B$13,"DESLIZAR",IF(J657&gt;=Configuracion!$B$12,"PREPARARSE","NO DESLIZAR")))</x:f>
      </x:c>
      <x:c r="N657" s="41" t="str">
        <x:f>IF(D657="","",D657-$D$8)</x:f>
      </x:c>
      <x:c r="O657" s="46" t="str">
        <x:f>IF(D657="","",MAX(0,MIN(1,N657/Configuracion!$B$10)))</x:f>
      </x:c>
    </x:row>
    <x:row r="658">
      <x:c r="A658" s="34"/>
      <x:c r="B658" s="36"/>
      <x:c r="C658" s="72"/>
      <x:c r="D658" s="71"/>
      <x:c r="E658" s="41" t="str">
        <x:f>IF(D658="","",D658+273.15)</x:f>
      </x:c>
      <x:c r="F658" s="44" t="str">
        <x:f>IF(OR(C658="",D658="",C657=""),"",(C658-C657)/60)</x:f>
      </x:c>
      <x:c r="G658" s="44" t="str">
        <x:f>IF(D658="","",EXP(-Configuracion!$B$4/Configuracion!$B$5*(1/AVERAGE(E657:E658)-1/(Configuracion!$B$3+273.15))))</x:f>
      </x:c>
      <x:c r="H658" s="44" t="str">
        <x:f>IF(D658="","",F658*G658)</x:f>
      </x:c>
      <x:c r="I658" s="44" t="str">
        <x:f>IF(D658="","",I657+H658)</x:f>
      </x:c>
      <x:c r="J658" s="46" t="str">
        <x:f>IF(D658="","",MIN(1,I658/Configuracion!$B$11))</x:f>
      </x:c>
      <x:c r="K658" s="48" t="str">
        <x:f>IF(D658="","",MAX(0,(Configuracion!$B$11-I658)/G658))</x:f>
      </x:c>
      <x:c r="L658" s="73" t="str">
        <x:f>IF(D658="","",C658+K658*60)</x:f>
      </x:c>
      <x:c r="M658" t="str">
        <x:f>IF(D658="","",IF(J658&gt;=Configuracion!$B$13,"DESLIZAR",IF(J658&gt;=Configuracion!$B$12,"PREPARARSE","NO DESLIZAR")))</x:f>
      </x:c>
      <x:c r="N658" s="41" t="str">
        <x:f>IF(D658="","",D658-$D$8)</x:f>
      </x:c>
      <x:c r="O658" s="46" t="str">
        <x:f>IF(D658="","",MAX(0,MIN(1,N658/Configuracion!$B$10)))</x:f>
      </x:c>
    </x:row>
    <x:row r="659">
      <x:c r="A659" s="34"/>
      <x:c r="B659" s="36"/>
      <x:c r="C659" s="72"/>
      <x:c r="D659" s="71"/>
      <x:c r="E659" s="41" t="str">
        <x:f>IF(D659="","",D659+273.15)</x:f>
      </x:c>
      <x:c r="F659" s="44" t="str">
        <x:f>IF(OR(C659="",D659="",C658=""),"",(C659-C658)/60)</x:f>
      </x:c>
      <x:c r="G659" s="44" t="str">
        <x:f>IF(D659="","",EXP(-Configuracion!$B$4/Configuracion!$B$5*(1/AVERAGE(E658:E659)-1/(Configuracion!$B$3+273.15))))</x:f>
      </x:c>
      <x:c r="H659" s="44" t="str">
        <x:f>IF(D659="","",F659*G659)</x:f>
      </x:c>
      <x:c r="I659" s="44" t="str">
        <x:f>IF(D659="","",I658+H659)</x:f>
      </x:c>
      <x:c r="J659" s="46" t="str">
        <x:f>IF(D659="","",MIN(1,I659/Configuracion!$B$11))</x:f>
      </x:c>
      <x:c r="K659" s="48" t="str">
        <x:f>IF(D659="","",MAX(0,(Configuracion!$B$11-I659)/G659))</x:f>
      </x:c>
      <x:c r="L659" s="73" t="str">
        <x:f>IF(D659="","",C659+K659*60)</x:f>
      </x:c>
      <x:c r="M659" t="str">
        <x:f>IF(D659="","",IF(J659&gt;=Configuracion!$B$13,"DESLIZAR",IF(J659&gt;=Configuracion!$B$12,"PREPARARSE","NO DESLIZAR")))</x:f>
      </x:c>
      <x:c r="N659" s="41" t="str">
        <x:f>IF(D659="","",D659-$D$8)</x:f>
      </x:c>
      <x:c r="O659" s="46" t="str">
        <x:f>IF(D659="","",MAX(0,MIN(1,N659/Configuracion!$B$10)))</x:f>
      </x:c>
    </x:row>
    <x:row r="660">
      <x:c r="A660" s="34"/>
      <x:c r="B660" s="36"/>
      <x:c r="C660" s="72"/>
      <x:c r="D660" s="71"/>
      <x:c r="E660" s="41" t="str">
        <x:f>IF(D660="","",D660+273.15)</x:f>
      </x:c>
      <x:c r="F660" s="44" t="str">
        <x:f>IF(OR(C660="",D660="",C659=""),"",(C660-C659)/60)</x:f>
      </x:c>
      <x:c r="G660" s="44" t="str">
        <x:f>IF(D660="","",EXP(-Configuracion!$B$4/Configuracion!$B$5*(1/AVERAGE(E659:E660)-1/(Configuracion!$B$3+273.15))))</x:f>
      </x:c>
      <x:c r="H660" s="44" t="str">
        <x:f>IF(D660="","",F660*G660)</x:f>
      </x:c>
      <x:c r="I660" s="44" t="str">
        <x:f>IF(D660="","",I659+H660)</x:f>
      </x:c>
      <x:c r="J660" s="46" t="str">
        <x:f>IF(D660="","",MIN(1,I660/Configuracion!$B$11))</x:f>
      </x:c>
      <x:c r="K660" s="48" t="str">
        <x:f>IF(D660="","",MAX(0,(Configuracion!$B$11-I660)/G660))</x:f>
      </x:c>
      <x:c r="L660" s="73" t="str">
        <x:f>IF(D660="","",C660+K660*60)</x:f>
      </x:c>
      <x:c r="M660" t="str">
        <x:f>IF(D660="","",IF(J660&gt;=Configuracion!$B$13,"DESLIZAR",IF(J660&gt;=Configuracion!$B$12,"PREPARARSE","NO DESLIZAR")))</x:f>
      </x:c>
      <x:c r="N660" s="41" t="str">
        <x:f>IF(D660="","",D660-$D$8)</x:f>
      </x:c>
      <x:c r="O660" s="46" t="str">
        <x:f>IF(D660="","",MAX(0,MIN(1,N660/Configuracion!$B$10)))</x:f>
      </x:c>
    </x:row>
    <x:row r="661">
      <x:c r="A661" s="34"/>
      <x:c r="B661" s="36"/>
      <x:c r="C661" s="72"/>
      <x:c r="D661" s="71"/>
      <x:c r="E661" s="41" t="str">
        <x:f>IF(D661="","",D661+273.15)</x:f>
      </x:c>
      <x:c r="F661" s="44" t="str">
        <x:f>IF(OR(C661="",D661="",C660=""),"",(C661-C660)/60)</x:f>
      </x:c>
      <x:c r="G661" s="44" t="str">
        <x:f>IF(D661="","",EXP(-Configuracion!$B$4/Configuracion!$B$5*(1/AVERAGE(E660:E661)-1/(Configuracion!$B$3+273.15))))</x:f>
      </x:c>
      <x:c r="H661" s="44" t="str">
        <x:f>IF(D661="","",F661*G661)</x:f>
      </x:c>
      <x:c r="I661" s="44" t="str">
        <x:f>IF(D661="","",I660+H661)</x:f>
      </x:c>
      <x:c r="J661" s="46" t="str">
        <x:f>IF(D661="","",MIN(1,I661/Configuracion!$B$11))</x:f>
      </x:c>
      <x:c r="K661" s="48" t="str">
        <x:f>IF(D661="","",MAX(0,(Configuracion!$B$11-I661)/G661))</x:f>
      </x:c>
      <x:c r="L661" s="73" t="str">
        <x:f>IF(D661="","",C661+K661*60)</x:f>
      </x:c>
      <x:c r="M661" t="str">
        <x:f>IF(D661="","",IF(J661&gt;=Configuracion!$B$13,"DESLIZAR",IF(J661&gt;=Configuracion!$B$12,"PREPARARSE","NO DESLIZAR")))</x:f>
      </x:c>
      <x:c r="N661" s="41" t="str">
        <x:f>IF(D661="","",D661-$D$8)</x:f>
      </x:c>
      <x:c r="O661" s="46" t="str">
        <x:f>IF(D661="","",MAX(0,MIN(1,N661/Configuracion!$B$10)))</x:f>
      </x:c>
    </x:row>
    <x:row r="662">
      <x:c r="A662" s="34"/>
      <x:c r="B662" s="36"/>
      <x:c r="C662" s="72"/>
      <x:c r="D662" s="71"/>
      <x:c r="E662" s="41" t="str">
        <x:f>IF(D662="","",D662+273.15)</x:f>
      </x:c>
      <x:c r="F662" s="44" t="str">
        <x:f>IF(OR(C662="",D662="",C661=""),"",(C662-C661)/60)</x:f>
      </x:c>
      <x:c r="G662" s="44" t="str">
        <x:f>IF(D662="","",EXP(-Configuracion!$B$4/Configuracion!$B$5*(1/AVERAGE(E661:E662)-1/(Configuracion!$B$3+273.15))))</x:f>
      </x:c>
      <x:c r="H662" s="44" t="str">
        <x:f>IF(D662="","",F662*G662)</x:f>
      </x:c>
      <x:c r="I662" s="44" t="str">
        <x:f>IF(D662="","",I661+H662)</x:f>
      </x:c>
      <x:c r="J662" s="46" t="str">
        <x:f>IF(D662="","",MIN(1,I662/Configuracion!$B$11))</x:f>
      </x:c>
      <x:c r="K662" s="48" t="str">
        <x:f>IF(D662="","",MAX(0,(Configuracion!$B$11-I662)/G662))</x:f>
      </x:c>
      <x:c r="L662" s="73" t="str">
        <x:f>IF(D662="","",C662+K662*60)</x:f>
      </x:c>
      <x:c r="M662" t="str">
        <x:f>IF(D662="","",IF(J662&gt;=Configuracion!$B$13,"DESLIZAR",IF(J662&gt;=Configuracion!$B$12,"PREPARARSE","NO DESLIZAR")))</x:f>
      </x:c>
      <x:c r="N662" s="41" t="str">
        <x:f>IF(D662="","",D662-$D$8)</x:f>
      </x:c>
      <x:c r="O662" s="46" t="str">
        <x:f>IF(D662="","",MAX(0,MIN(1,N662/Configuracion!$B$10)))</x:f>
      </x:c>
    </x:row>
    <x:row r="663">
      <x:c r="A663" s="34"/>
      <x:c r="B663" s="36"/>
      <x:c r="C663" s="72"/>
      <x:c r="D663" s="71"/>
      <x:c r="E663" s="41" t="str">
        <x:f>IF(D663="","",D663+273.15)</x:f>
      </x:c>
      <x:c r="F663" s="44" t="str">
        <x:f>IF(OR(C663="",D663="",C662=""),"",(C663-C662)/60)</x:f>
      </x:c>
      <x:c r="G663" s="44" t="str">
        <x:f>IF(D663="","",EXP(-Configuracion!$B$4/Configuracion!$B$5*(1/AVERAGE(E662:E663)-1/(Configuracion!$B$3+273.15))))</x:f>
      </x:c>
      <x:c r="H663" s="44" t="str">
        <x:f>IF(D663="","",F663*G663)</x:f>
      </x:c>
      <x:c r="I663" s="44" t="str">
        <x:f>IF(D663="","",I662+H663)</x:f>
      </x:c>
      <x:c r="J663" s="46" t="str">
        <x:f>IF(D663="","",MIN(1,I663/Configuracion!$B$11))</x:f>
      </x:c>
      <x:c r="K663" s="48" t="str">
        <x:f>IF(D663="","",MAX(0,(Configuracion!$B$11-I663)/G663))</x:f>
      </x:c>
      <x:c r="L663" s="73" t="str">
        <x:f>IF(D663="","",C663+K663*60)</x:f>
      </x:c>
      <x:c r="M663" t="str">
        <x:f>IF(D663="","",IF(J663&gt;=Configuracion!$B$13,"DESLIZAR",IF(J663&gt;=Configuracion!$B$12,"PREPARARSE","NO DESLIZAR")))</x:f>
      </x:c>
      <x:c r="N663" s="41" t="str">
        <x:f>IF(D663="","",D663-$D$8)</x:f>
      </x:c>
      <x:c r="O663" s="46" t="str">
        <x:f>IF(D663="","",MAX(0,MIN(1,N663/Configuracion!$B$10)))</x:f>
      </x:c>
    </x:row>
    <x:row r="664">
      <x:c r="A664" s="34"/>
      <x:c r="B664" s="36"/>
      <x:c r="C664" s="72"/>
      <x:c r="D664" s="71"/>
      <x:c r="E664" s="41" t="str">
        <x:f>IF(D664="","",D664+273.15)</x:f>
      </x:c>
      <x:c r="F664" s="44" t="str">
        <x:f>IF(OR(C664="",D664="",C663=""),"",(C664-C663)/60)</x:f>
      </x:c>
      <x:c r="G664" s="44" t="str">
        <x:f>IF(D664="","",EXP(-Configuracion!$B$4/Configuracion!$B$5*(1/AVERAGE(E663:E664)-1/(Configuracion!$B$3+273.15))))</x:f>
      </x:c>
      <x:c r="H664" s="44" t="str">
        <x:f>IF(D664="","",F664*G664)</x:f>
      </x:c>
      <x:c r="I664" s="44" t="str">
        <x:f>IF(D664="","",I663+H664)</x:f>
      </x:c>
      <x:c r="J664" s="46" t="str">
        <x:f>IF(D664="","",MIN(1,I664/Configuracion!$B$11))</x:f>
      </x:c>
      <x:c r="K664" s="48" t="str">
        <x:f>IF(D664="","",MAX(0,(Configuracion!$B$11-I664)/G664))</x:f>
      </x:c>
      <x:c r="L664" s="73" t="str">
        <x:f>IF(D664="","",C664+K664*60)</x:f>
      </x:c>
      <x:c r="M664" t="str">
        <x:f>IF(D664="","",IF(J664&gt;=Configuracion!$B$13,"DESLIZAR",IF(J664&gt;=Configuracion!$B$12,"PREPARARSE","NO DESLIZAR")))</x:f>
      </x:c>
      <x:c r="N664" s="41" t="str">
        <x:f>IF(D664="","",D664-$D$8)</x:f>
      </x:c>
      <x:c r="O664" s="46" t="str">
        <x:f>IF(D664="","",MAX(0,MIN(1,N664/Configuracion!$B$10)))</x:f>
      </x:c>
    </x:row>
    <x:row r="665">
      <x:c r="A665" s="34"/>
      <x:c r="B665" s="36"/>
      <x:c r="C665" s="72"/>
      <x:c r="D665" s="71"/>
      <x:c r="E665" s="41" t="str">
        <x:f>IF(D665="","",D665+273.15)</x:f>
      </x:c>
      <x:c r="F665" s="44" t="str">
        <x:f>IF(OR(C665="",D665="",C664=""),"",(C665-C664)/60)</x:f>
      </x:c>
      <x:c r="G665" s="44" t="str">
        <x:f>IF(D665="","",EXP(-Configuracion!$B$4/Configuracion!$B$5*(1/AVERAGE(E664:E665)-1/(Configuracion!$B$3+273.15))))</x:f>
      </x:c>
      <x:c r="H665" s="44" t="str">
        <x:f>IF(D665="","",F665*G665)</x:f>
      </x:c>
      <x:c r="I665" s="44" t="str">
        <x:f>IF(D665="","",I664+H665)</x:f>
      </x:c>
      <x:c r="J665" s="46" t="str">
        <x:f>IF(D665="","",MIN(1,I665/Configuracion!$B$11))</x:f>
      </x:c>
      <x:c r="K665" s="48" t="str">
        <x:f>IF(D665="","",MAX(0,(Configuracion!$B$11-I665)/G665))</x:f>
      </x:c>
      <x:c r="L665" s="73" t="str">
        <x:f>IF(D665="","",C665+K665*60)</x:f>
      </x:c>
      <x:c r="M665" t="str">
        <x:f>IF(D665="","",IF(J665&gt;=Configuracion!$B$13,"DESLIZAR",IF(J665&gt;=Configuracion!$B$12,"PREPARARSE","NO DESLIZAR")))</x:f>
      </x:c>
      <x:c r="N665" s="41" t="str">
        <x:f>IF(D665="","",D665-$D$8)</x:f>
      </x:c>
      <x:c r="O665" s="46" t="str">
        <x:f>IF(D665="","",MAX(0,MIN(1,N665/Configuracion!$B$10)))</x:f>
      </x:c>
    </x:row>
    <x:row r="666">
      <x:c r="A666" s="34"/>
      <x:c r="B666" s="36"/>
      <x:c r="C666" s="72"/>
      <x:c r="D666" s="71"/>
      <x:c r="E666" s="41" t="str">
        <x:f>IF(D666="","",D666+273.15)</x:f>
      </x:c>
      <x:c r="F666" s="44" t="str">
        <x:f>IF(OR(C666="",D666="",C665=""),"",(C666-C665)/60)</x:f>
      </x:c>
      <x:c r="G666" s="44" t="str">
        <x:f>IF(D666="","",EXP(-Configuracion!$B$4/Configuracion!$B$5*(1/AVERAGE(E665:E666)-1/(Configuracion!$B$3+273.15))))</x:f>
      </x:c>
      <x:c r="H666" s="44" t="str">
        <x:f>IF(D666="","",F666*G666)</x:f>
      </x:c>
      <x:c r="I666" s="44" t="str">
        <x:f>IF(D666="","",I665+H666)</x:f>
      </x:c>
      <x:c r="J666" s="46" t="str">
        <x:f>IF(D666="","",MIN(1,I666/Configuracion!$B$11))</x:f>
      </x:c>
      <x:c r="K666" s="48" t="str">
        <x:f>IF(D666="","",MAX(0,(Configuracion!$B$11-I666)/G666))</x:f>
      </x:c>
      <x:c r="L666" s="73" t="str">
        <x:f>IF(D666="","",C666+K666*60)</x:f>
      </x:c>
      <x:c r="M666" t="str">
        <x:f>IF(D666="","",IF(J666&gt;=Configuracion!$B$13,"DESLIZAR",IF(J666&gt;=Configuracion!$B$12,"PREPARARSE","NO DESLIZAR")))</x:f>
      </x:c>
      <x:c r="N666" s="41" t="str">
        <x:f>IF(D666="","",D666-$D$8)</x:f>
      </x:c>
      <x:c r="O666" s="46" t="str">
        <x:f>IF(D666="","",MAX(0,MIN(1,N666/Configuracion!$B$10)))</x:f>
      </x:c>
    </x:row>
    <x:row r="667">
      <x:c r="A667" s="34"/>
      <x:c r="B667" s="36"/>
      <x:c r="C667" s="72"/>
      <x:c r="D667" s="71"/>
      <x:c r="E667" s="41" t="str">
        <x:f>IF(D667="","",D667+273.15)</x:f>
      </x:c>
      <x:c r="F667" s="44" t="str">
        <x:f>IF(OR(C667="",D667="",C666=""),"",(C667-C666)/60)</x:f>
      </x:c>
      <x:c r="G667" s="44" t="str">
        <x:f>IF(D667="","",EXP(-Configuracion!$B$4/Configuracion!$B$5*(1/AVERAGE(E666:E667)-1/(Configuracion!$B$3+273.15))))</x:f>
      </x:c>
      <x:c r="H667" s="44" t="str">
        <x:f>IF(D667="","",F667*G667)</x:f>
      </x:c>
      <x:c r="I667" s="44" t="str">
        <x:f>IF(D667="","",I666+H667)</x:f>
      </x:c>
      <x:c r="J667" s="46" t="str">
        <x:f>IF(D667="","",MIN(1,I667/Configuracion!$B$11))</x:f>
      </x:c>
      <x:c r="K667" s="48" t="str">
        <x:f>IF(D667="","",MAX(0,(Configuracion!$B$11-I667)/G667))</x:f>
      </x:c>
      <x:c r="L667" s="73" t="str">
        <x:f>IF(D667="","",C667+K667*60)</x:f>
      </x:c>
      <x:c r="M667" t="str">
        <x:f>IF(D667="","",IF(J667&gt;=Configuracion!$B$13,"DESLIZAR",IF(J667&gt;=Configuracion!$B$12,"PREPARARSE","NO DESLIZAR")))</x:f>
      </x:c>
      <x:c r="N667" s="41" t="str">
        <x:f>IF(D667="","",D667-$D$8)</x:f>
      </x:c>
      <x:c r="O667" s="46" t="str">
        <x:f>IF(D667="","",MAX(0,MIN(1,N667/Configuracion!$B$10)))</x:f>
      </x:c>
    </x:row>
    <x:row r="668">
      <x:c r="A668" s="34"/>
      <x:c r="B668" s="36"/>
      <x:c r="C668" s="72"/>
      <x:c r="D668" s="71"/>
      <x:c r="E668" s="41" t="str">
        <x:f>IF(D668="","",D668+273.15)</x:f>
      </x:c>
      <x:c r="F668" s="44" t="str">
        <x:f>IF(OR(C668="",D668="",C667=""),"",(C668-C667)/60)</x:f>
      </x:c>
      <x:c r="G668" s="44" t="str">
        <x:f>IF(D668="","",EXP(-Configuracion!$B$4/Configuracion!$B$5*(1/AVERAGE(E667:E668)-1/(Configuracion!$B$3+273.15))))</x:f>
      </x:c>
      <x:c r="H668" s="44" t="str">
        <x:f>IF(D668="","",F668*G668)</x:f>
      </x:c>
      <x:c r="I668" s="44" t="str">
        <x:f>IF(D668="","",I667+H668)</x:f>
      </x:c>
      <x:c r="J668" s="46" t="str">
        <x:f>IF(D668="","",MIN(1,I668/Configuracion!$B$11))</x:f>
      </x:c>
      <x:c r="K668" s="48" t="str">
        <x:f>IF(D668="","",MAX(0,(Configuracion!$B$11-I668)/G668))</x:f>
      </x:c>
      <x:c r="L668" s="73" t="str">
        <x:f>IF(D668="","",C668+K668*60)</x:f>
      </x:c>
      <x:c r="M668" t="str">
        <x:f>IF(D668="","",IF(J668&gt;=Configuracion!$B$13,"DESLIZAR",IF(J668&gt;=Configuracion!$B$12,"PREPARARSE","NO DESLIZAR")))</x:f>
      </x:c>
      <x:c r="N668" s="41" t="str">
        <x:f>IF(D668="","",D668-$D$8)</x:f>
      </x:c>
      <x:c r="O668" s="46" t="str">
        <x:f>IF(D668="","",MAX(0,MIN(1,N668/Configuracion!$B$10)))</x:f>
      </x:c>
    </x:row>
    <x:row r="669">
      <x:c r="A669" s="34"/>
      <x:c r="B669" s="36"/>
      <x:c r="C669" s="72"/>
      <x:c r="D669" s="71"/>
      <x:c r="E669" s="41" t="str">
        <x:f>IF(D669="","",D669+273.15)</x:f>
      </x:c>
      <x:c r="F669" s="44" t="str">
        <x:f>IF(OR(C669="",D669="",C668=""),"",(C669-C668)/60)</x:f>
      </x:c>
      <x:c r="G669" s="44" t="str">
        <x:f>IF(D669="","",EXP(-Configuracion!$B$4/Configuracion!$B$5*(1/AVERAGE(E668:E669)-1/(Configuracion!$B$3+273.15))))</x:f>
      </x:c>
      <x:c r="H669" s="44" t="str">
        <x:f>IF(D669="","",F669*G669)</x:f>
      </x:c>
      <x:c r="I669" s="44" t="str">
        <x:f>IF(D669="","",I668+H669)</x:f>
      </x:c>
      <x:c r="J669" s="46" t="str">
        <x:f>IF(D669="","",MIN(1,I669/Configuracion!$B$11))</x:f>
      </x:c>
      <x:c r="K669" s="48" t="str">
        <x:f>IF(D669="","",MAX(0,(Configuracion!$B$11-I669)/G669))</x:f>
      </x:c>
      <x:c r="L669" s="73" t="str">
        <x:f>IF(D669="","",C669+K669*60)</x:f>
      </x:c>
      <x:c r="M669" t="str">
        <x:f>IF(D669="","",IF(J669&gt;=Configuracion!$B$13,"DESLIZAR",IF(J669&gt;=Configuracion!$B$12,"PREPARARSE","NO DESLIZAR")))</x:f>
      </x:c>
      <x:c r="N669" s="41" t="str">
        <x:f>IF(D669="","",D669-$D$8)</x:f>
      </x:c>
      <x:c r="O669" s="46" t="str">
        <x:f>IF(D669="","",MAX(0,MIN(1,N669/Configuracion!$B$10)))</x:f>
      </x:c>
    </x:row>
    <x:row r="670">
      <x:c r="A670" s="34"/>
      <x:c r="B670" s="36"/>
      <x:c r="C670" s="72"/>
      <x:c r="D670" s="71"/>
      <x:c r="E670" s="41" t="str">
        <x:f>IF(D670="","",D670+273.15)</x:f>
      </x:c>
      <x:c r="F670" s="44" t="str">
        <x:f>IF(OR(C670="",D670="",C669=""),"",(C670-C669)/60)</x:f>
      </x:c>
      <x:c r="G670" s="44" t="str">
        <x:f>IF(D670="","",EXP(-Configuracion!$B$4/Configuracion!$B$5*(1/AVERAGE(E669:E670)-1/(Configuracion!$B$3+273.15))))</x:f>
      </x:c>
      <x:c r="H670" s="44" t="str">
        <x:f>IF(D670="","",F670*G670)</x:f>
      </x:c>
      <x:c r="I670" s="44" t="str">
        <x:f>IF(D670="","",I669+H670)</x:f>
      </x:c>
      <x:c r="J670" s="46" t="str">
        <x:f>IF(D670="","",MIN(1,I670/Configuracion!$B$11))</x:f>
      </x:c>
      <x:c r="K670" s="48" t="str">
        <x:f>IF(D670="","",MAX(0,(Configuracion!$B$11-I670)/G670))</x:f>
      </x:c>
      <x:c r="L670" s="73" t="str">
        <x:f>IF(D670="","",C670+K670*60)</x:f>
      </x:c>
      <x:c r="M670" t="str">
        <x:f>IF(D670="","",IF(J670&gt;=Configuracion!$B$13,"DESLIZAR",IF(J670&gt;=Configuracion!$B$12,"PREPARARSE","NO DESLIZAR")))</x:f>
      </x:c>
      <x:c r="N670" s="41" t="str">
        <x:f>IF(D670="","",D670-$D$8)</x:f>
      </x:c>
      <x:c r="O670" s="46" t="str">
        <x:f>IF(D670="","",MAX(0,MIN(1,N670/Configuracion!$B$10)))</x:f>
      </x:c>
    </x:row>
    <x:row r="671">
      <x:c r="A671" s="34"/>
      <x:c r="B671" s="36"/>
      <x:c r="C671" s="72"/>
      <x:c r="D671" s="71"/>
      <x:c r="E671" s="41" t="str">
        <x:f>IF(D671="","",D671+273.15)</x:f>
      </x:c>
      <x:c r="F671" s="44" t="str">
        <x:f>IF(OR(C671="",D671="",C670=""),"",(C671-C670)/60)</x:f>
      </x:c>
      <x:c r="G671" s="44" t="str">
        <x:f>IF(D671="","",EXP(-Configuracion!$B$4/Configuracion!$B$5*(1/AVERAGE(E670:E671)-1/(Configuracion!$B$3+273.15))))</x:f>
      </x:c>
      <x:c r="H671" s="44" t="str">
        <x:f>IF(D671="","",F671*G671)</x:f>
      </x:c>
      <x:c r="I671" s="44" t="str">
        <x:f>IF(D671="","",I670+H671)</x:f>
      </x:c>
      <x:c r="J671" s="46" t="str">
        <x:f>IF(D671="","",MIN(1,I671/Configuracion!$B$11))</x:f>
      </x:c>
      <x:c r="K671" s="48" t="str">
        <x:f>IF(D671="","",MAX(0,(Configuracion!$B$11-I671)/G671))</x:f>
      </x:c>
      <x:c r="L671" s="73" t="str">
        <x:f>IF(D671="","",C671+K671*60)</x:f>
      </x:c>
      <x:c r="M671" t="str">
        <x:f>IF(D671="","",IF(J671&gt;=Configuracion!$B$13,"DESLIZAR",IF(J671&gt;=Configuracion!$B$12,"PREPARARSE","NO DESLIZAR")))</x:f>
      </x:c>
      <x:c r="N671" s="41" t="str">
        <x:f>IF(D671="","",D671-$D$8)</x:f>
      </x:c>
      <x:c r="O671" s="46" t="str">
        <x:f>IF(D671="","",MAX(0,MIN(1,N671/Configuracion!$B$10)))</x:f>
      </x:c>
    </x:row>
    <x:row r="672">
      <x:c r="A672" s="34"/>
      <x:c r="B672" s="36"/>
      <x:c r="C672" s="72"/>
      <x:c r="D672" s="71"/>
      <x:c r="E672" s="41" t="str">
        <x:f>IF(D672="","",D672+273.15)</x:f>
      </x:c>
      <x:c r="F672" s="44" t="str">
        <x:f>IF(OR(C672="",D672="",C671=""),"",(C672-C671)/60)</x:f>
      </x:c>
      <x:c r="G672" s="44" t="str">
        <x:f>IF(D672="","",EXP(-Configuracion!$B$4/Configuracion!$B$5*(1/AVERAGE(E671:E672)-1/(Configuracion!$B$3+273.15))))</x:f>
      </x:c>
      <x:c r="H672" s="44" t="str">
        <x:f>IF(D672="","",F672*G672)</x:f>
      </x:c>
      <x:c r="I672" s="44" t="str">
        <x:f>IF(D672="","",I671+H672)</x:f>
      </x:c>
      <x:c r="J672" s="46" t="str">
        <x:f>IF(D672="","",MIN(1,I672/Configuracion!$B$11))</x:f>
      </x:c>
      <x:c r="K672" s="48" t="str">
        <x:f>IF(D672="","",MAX(0,(Configuracion!$B$11-I672)/G672))</x:f>
      </x:c>
      <x:c r="L672" s="73" t="str">
        <x:f>IF(D672="","",C672+K672*60)</x:f>
      </x:c>
      <x:c r="M672" t="str">
        <x:f>IF(D672="","",IF(J672&gt;=Configuracion!$B$13,"DESLIZAR",IF(J672&gt;=Configuracion!$B$12,"PREPARARSE","NO DESLIZAR")))</x:f>
      </x:c>
      <x:c r="N672" s="41" t="str">
        <x:f>IF(D672="","",D672-$D$8)</x:f>
      </x:c>
      <x:c r="O672" s="46" t="str">
        <x:f>IF(D672="","",MAX(0,MIN(1,N672/Configuracion!$B$10)))</x:f>
      </x:c>
    </x:row>
    <x:row r="673">
      <x:c r="A673" s="34"/>
      <x:c r="B673" s="36"/>
      <x:c r="C673" s="72"/>
      <x:c r="D673" s="71"/>
      <x:c r="E673" s="41" t="str">
        <x:f>IF(D673="","",D673+273.15)</x:f>
      </x:c>
      <x:c r="F673" s="44" t="str">
        <x:f>IF(OR(C673="",D673="",C672=""),"",(C673-C672)/60)</x:f>
      </x:c>
      <x:c r="G673" s="44" t="str">
        <x:f>IF(D673="","",EXP(-Configuracion!$B$4/Configuracion!$B$5*(1/AVERAGE(E672:E673)-1/(Configuracion!$B$3+273.15))))</x:f>
      </x:c>
      <x:c r="H673" s="44" t="str">
        <x:f>IF(D673="","",F673*G673)</x:f>
      </x:c>
      <x:c r="I673" s="44" t="str">
        <x:f>IF(D673="","",I672+H673)</x:f>
      </x:c>
      <x:c r="J673" s="46" t="str">
        <x:f>IF(D673="","",MIN(1,I673/Configuracion!$B$11))</x:f>
      </x:c>
      <x:c r="K673" s="48" t="str">
        <x:f>IF(D673="","",MAX(0,(Configuracion!$B$11-I673)/G673))</x:f>
      </x:c>
      <x:c r="L673" s="73" t="str">
        <x:f>IF(D673="","",C673+K673*60)</x:f>
      </x:c>
      <x:c r="M673" t="str">
        <x:f>IF(D673="","",IF(J673&gt;=Configuracion!$B$13,"DESLIZAR",IF(J673&gt;=Configuracion!$B$12,"PREPARARSE","NO DESLIZAR")))</x:f>
      </x:c>
      <x:c r="N673" s="41" t="str">
        <x:f>IF(D673="","",D673-$D$8)</x:f>
      </x:c>
      <x:c r="O673" s="46" t="str">
        <x:f>IF(D673="","",MAX(0,MIN(1,N673/Configuracion!$B$10)))</x:f>
      </x:c>
    </x:row>
    <x:row r="674">
      <x:c r="A674" s="34"/>
      <x:c r="B674" s="36"/>
      <x:c r="C674" s="72"/>
      <x:c r="D674" s="71"/>
      <x:c r="E674" s="41" t="str">
        <x:f>IF(D674="","",D674+273.15)</x:f>
      </x:c>
      <x:c r="F674" s="44" t="str">
        <x:f>IF(OR(C674="",D674="",C673=""),"",(C674-C673)/60)</x:f>
      </x:c>
      <x:c r="G674" s="44" t="str">
        <x:f>IF(D674="","",EXP(-Configuracion!$B$4/Configuracion!$B$5*(1/AVERAGE(E673:E674)-1/(Configuracion!$B$3+273.15))))</x:f>
      </x:c>
      <x:c r="H674" s="44" t="str">
        <x:f>IF(D674="","",F674*G674)</x:f>
      </x:c>
      <x:c r="I674" s="44" t="str">
        <x:f>IF(D674="","",I673+H674)</x:f>
      </x:c>
      <x:c r="J674" s="46" t="str">
        <x:f>IF(D674="","",MIN(1,I674/Configuracion!$B$11))</x:f>
      </x:c>
      <x:c r="K674" s="48" t="str">
        <x:f>IF(D674="","",MAX(0,(Configuracion!$B$11-I674)/G674))</x:f>
      </x:c>
      <x:c r="L674" s="73" t="str">
        <x:f>IF(D674="","",C674+K674*60)</x:f>
      </x:c>
      <x:c r="M674" t="str">
        <x:f>IF(D674="","",IF(J674&gt;=Configuracion!$B$13,"DESLIZAR",IF(J674&gt;=Configuracion!$B$12,"PREPARARSE","NO DESLIZAR")))</x:f>
      </x:c>
      <x:c r="N674" s="41" t="str">
        <x:f>IF(D674="","",D674-$D$8)</x:f>
      </x:c>
      <x:c r="O674" s="46" t="str">
        <x:f>IF(D674="","",MAX(0,MIN(1,N674/Configuracion!$B$10)))</x:f>
      </x:c>
    </x:row>
    <x:row r="675">
      <x:c r="A675" s="34"/>
      <x:c r="B675" s="36"/>
      <x:c r="C675" s="72"/>
      <x:c r="D675" s="71"/>
      <x:c r="E675" s="41" t="str">
        <x:f>IF(D675="","",D675+273.15)</x:f>
      </x:c>
      <x:c r="F675" s="44" t="str">
        <x:f>IF(OR(C675="",D675="",C674=""),"",(C675-C674)/60)</x:f>
      </x:c>
      <x:c r="G675" s="44" t="str">
        <x:f>IF(D675="","",EXP(-Configuracion!$B$4/Configuracion!$B$5*(1/AVERAGE(E674:E675)-1/(Configuracion!$B$3+273.15))))</x:f>
      </x:c>
      <x:c r="H675" s="44" t="str">
        <x:f>IF(D675="","",F675*G675)</x:f>
      </x:c>
      <x:c r="I675" s="44" t="str">
        <x:f>IF(D675="","",I674+H675)</x:f>
      </x:c>
      <x:c r="J675" s="46" t="str">
        <x:f>IF(D675="","",MIN(1,I675/Configuracion!$B$11))</x:f>
      </x:c>
      <x:c r="K675" s="48" t="str">
        <x:f>IF(D675="","",MAX(0,(Configuracion!$B$11-I675)/G675))</x:f>
      </x:c>
      <x:c r="L675" s="73" t="str">
        <x:f>IF(D675="","",C675+K675*60)</x:f>
      </x:c>
      <x:c r="M675" t="str">
        <x:f>IF(D675="","",IF(J675&gt;=Configuracion!$B$13,"DESLIZAR",IF(J675&gt;=Configuracion!$B$12,"PREPARARSE","NO DESLIZAR")))</x:f>
      </x:c>
      <x:c r="N675" s="41" t="str">
        <x:f>IF(D675="","",D675-$D$8)</x:f>
      </x:c>
      <x:c r="O675" s="46" t="str">
        <x:f>IF(D675="","",MAX(0,MIN(1,N675/Configuracion!$B$10)))</x:f>
      </x:c>
    </x:row>
    <x:row r="676">
      <x:c r="A676" s="34"/>
      <x:c r="B676" s="36"/>
      <x:c r="C676" s="72"/>
      <x:c r="D676" s="71"/>
      <x:c r="E676" s="41" t="str">
        <x:f>IF(D676="","",D676+273.15)</x:f>
      </x:c>
      <x:c r="F676" s="44" t="str">
        <x:f>IF(OR(C676="",D676="",C675=""),"",(C676-C675)/60)</x:f>
      </x:c>
      <x:c r="G676" s="44" t="str">
        <x:f>IF(D676="","",EXP(-Configuracion!$B$4/Configuracion!$B$5*(1/AVERAGE(E675:E676)-1/(Configuracion!$B$3+273.15))))</x:f>
      </x:c>
      <x:c r="H676" s="44" t="str">
        <x:f>IF(D676="","",F676*G676)</x:f>
      </x:c>
      <x:c r="I676" s="44" t="str">
        <x:f>IF(D676="","",I675+H676)</x:f>
      </x:c>
      <x:c r="J676" s="46" t="str">
        <x:f>IF(D676="","",MIN(1,I676/Configuracion!$B$11))</x:f>
      </x:c>
      <x:c r="K676" s="48" t="str">
        <x:f>IF(D676="","",MAX(0,(Configuracion!$B$11-I676)/G676))</x:f>
      </x:c>
      <x:c r="L676" s="73" t="str">
        <x:f>IF(D676="","",C676+K676*60)</x:f>
      </x:c>
      <x:c r="M676" t="str">
        <x:f>IF(D676="","",IF(J676&gt;=Configuracion!$B$13,"DESLIZAR",IF(J676&gt;=Configuracion!$B$12,"PREPARARSE","NO DESLIZAR")))</x:f>
      </x:c>
      <x:c r="N676" s="41" t="str">
        <x:f>IF(D676="","",D676-$D$8)</x:f>
      </x:c>
      <x:c r="O676" s="46" t="str">
        <x:f>IF(D676="","",MAX(0,MIN(1,N676/Configuracion!$B$10)))</x:f>
      </x:c>
    </x:row>
    <x:row r="677">
      <x:c r="A677" s="34"/>
      <x:c r="B677" s="36"/>
      <x:c r="C677" s="72"/>
      <x:c r="D677" s="71"/>
      <x:c r="E677" s="41" t="str">
        <x:f>IF(D677="","",D677+273.15)</x:f>
      </x:c>
      <x:c r="F677" s="44" t="str">
        <x:f>IF(OR(C677="",D677="",C676=""),"",(C677-C676)/60)</x:f>
      </x:c>
      <x:c r="G677" s="44" t="str">
        <x:f>IF(D677="","",EXP(-Configuracion!$B$4/Configuracion!$B$5*(1/AVERAGE(E676:E677)-1/(Configuracion!$B$3+273.15))))</x:f>
      </x:c>
      <x:c r="H677" s="44" t="str">
        <x:f>IF(D677="","",F677*G677)</x:f>
      </x:c>
      <x:c r="I677" s="44" t="str">
        <x:f>IF(D677="","",I676+H677)</x:f>
      </x:c>
      <x:c r="J677" s="46" t="str">
        <x:f>IF(D677="","",MIN(1,I677/Configuracion!$B$11))</x:f>
      </x:c>
      <x:c r="K677" s="48" t="str">
        <x:f>IF(D677="","",MAX(0,(Configuracion!$B$11-I677)/G677))</x:f>
      </x:c>
      <x:c r="L677" s="73" t="str">
        <x:f>IF(D677="","",C677+K677*60)</x:f>
      </x:c>
      <x:c r="M677" t="str">
        <x:f>IF(D677="","",IF(J677&gt;=Configuracion!$B$13,"DESLIZAR",IF(J677&gt;=Configuracion!$B$12,"PREPARARSE","NO DESLIZAR")))</x:f>
      </x:c>
      <x:c r="N677" s="41" t="str">
        <x:f>IF(D677="","",D677-$D$8)</x:f>
      </x:c>
      <x:c r="O677" s="46" t="str">
        <x:f>IF(D677="","",MAX(0,MIN(1,N677/Configuracion!$B$10)))</x:f>
      </x:c>
    </x:row>
    <x:row r="678">
      <x:c r="A678" s="34"/>
      <x:c r="B678" s="36"/>
      <x:c r="C678" s="72"/>
      <x:c r="D678" s="71"/>
      <x:c r="E678" s="41" t="str">
        <x:f>IF(D678="","",D678+273.15)</x:f>
      </x:c>
      <x:c r="F678" s="44" t="str">
        <x:f>IF(OR(C678="",D678="",C677=""),"",(C678-C677)/60)</x:f>
      </x:c>
      <x:c r="G678" s="44" t="str">
        <x:f>IF(D678="","",EXP(-Configuracion!$B$4/Configuracion!$B$5*(1/AVERAGE(E677:E678)-1/(Configuracion!$B$3+273.15))))</x:f>
      </x:c>
      <x:c r="H678" s="44" t="str">
        <x:f>IF(D678="","",F678*G678)</x:f>
      </x:c>
      <x:c r="I678" s="44" t="str">
        <x:f>IF(D678="","",I677+H678)</x:f>
      </x:c>
      <x:c r="J678" s="46" t="str">
        <x:f>IF(D678="","",MIN(1,I678/Configuracion!$B$11))</x:f>
      </x:c>
      <x:c r="K678" s="48" t="str">
        <x:f>IF(D678="","",MAX(0,(Configuracion!$B$11-I678)/G678))</x:f>
      </x:c>
      <x:c r="L678" s="73" t="str">
        <x:f>IF(D678="","",C678+K678*60)</x:f>
      </x:c>
      <x:c r="M678" t="str">
        <x:f>IF(D678="","",IF(J678&gt;=Configuracion!$B$13,"DESLIZAR",IF(J678&gt;=Configuracion!$B$12,"PREPARARSE","NO DESLIZAR")))</x:f>
      </x:c>
      <x:c r="N678" s="41" t="str">
        <x:f>IF(D678="","",D678-$D$8)</x:f>
      </x:c>
      <x:c r="O678" s="46" t="str">
        <x:f>IF(D678="","",MAX(0,MIN(1,N678/Configuracion!$B$10)))</x:f>
      </x:c>
    </x:row>
    <x:row r="679">
      <x:c r="A679" s="34"/>
      <x:c r="B679" s="36"/>
      <x:c r="C679" s="72"/>
      <x:c r="D679" s="71"/>
      <x:c r="E679" s="41" t="str">
        <x:f>IF(D679="","",D679+273.15)</x:f>
      </x:c>
      <x:c r="F679" s="44" t="str">
        <x:f>IF(OR(C679="",D679="",C678=""),"",(C679-C678)/60)</x:f>
      </x:c>
      <x:c r="G679" s="44" t="str">
        <x:f>IF(D679="","",EXP(-Configuracion!$B$4/Configuracion!$B$5*(1/AVERAGE(E678:E679)-1/(Configuracion!$B$3+273.15))))</x:f>
      </x:c>
      <x:c r="H679" s="44" t="str">
        <x:f>IF(D679="","",F679*G679)</x:f>
      </x:c>
      <x:c r="I679" s="44" t="str">
        <x:f>IF(D679="","",I678+H679)</x:f>
      </x:c>
      <x:c r="J679" s="46" t="str">
        <x:f>IF(D679="","",MIN(1,I679/Configuracion!$B$11))</x:f>
      </x:c>
      <x:c r="K679" s="48" t="str">
        <x:f>IF(D679="","",MAX(0,(Configuracion!$B$11-I679)/G679))</x:f>
      </x:c>
      <x:c r="L679" s="73" t="str">
        <x:f>IF(D679="","",C679+K679*60)</x:f>
      </x:c>
      <x:c r="M679" t="str">
        <x:f>IF(D679="","",IF(J679&gt;=Configuracion!$B$13,"DESLIZAR",IF(J679&gt;=Configuracion!$B$12,"PREPARARSE","NO DESLIZAR")))</x:f>
      </x:c>
      <x:c r="N679" s="41" t="str">
        <x:f>IF(D679="","",D679-$D$8)</x:f>
      </x:c>
      <x:c r="O679" s="46" t="str">
        <x:f>IF(D679="","",MAX(0,MIN(1,N679/Configuracion!$B$10)))</x:f>
      </x:c>
    </x:row>
    <x:row r="680">
      <x:c r="A680" s="34"/>
      <x:c r="B680" s="36"/>
      <x:c r="C680" s="72"/>
      <x:c r="D680" s="71"/>
      <x:c r="E680" s="41" t="str">
        <x:f>IF(D680="","",D680+273.15)</x:f>
      </x:c>
      <x:c r="F680" s="44" t="str">
        <x:f>IF(OR(C680="",D680="",C679=""),"",(C680-C679)/60)</x:f>
      </x:c>
      <x:c r="G680" s="44" t="str">
        <x:f>IF(D680="","",EXP(-Configuracion!$B$4/Configuracion!$B$5*(1/AVERAGE(E679:E680)-1/(Configuracion!$B$3+273.15))))</x:f>
      </x:c>
      <x:c r="H680" s="44" t="str">
        <x:f>IF(D680="","",F680*G680)</x:f>
      </x:c>
      <x:c r="I680" s="44" t="str">
        <x:f>IF(D680="","",I679+H680)</x:f>
      </x:c>
      <x:c r="J680" s="46" t="str">
        <x:f>IF(D680="","",MIN(1,I680/Configuracion!$B$11))</x:f>
      </x:c>
      <x:c r="K680" s="48" t="str">
        <x:f>IF(D680="","",MAX(0,(Configuracion!$B$11-I680)/G680))</x:f>
      </x:c>
      <x:c r="L680" s="73" t="str">
        <x:f>IF(D680="","",C680+K680*60)</x:f>
      </x:c>
      <x:c r="M680" t="str">
        <x:f>IF(D680="","",IF(J680&gt;=Configuracion!$B$13,"DESLIZAR",IF(J680&gt;=Configuracion!$B$12,"PREPARARSE","NO DESLIZAR")))</x:f>
      </x:c>
      <x:c r="N680" s="41" t="str">
        <x:f>IF(D680="","",D680-$D$8)</x:f>
      </x:c>
      <x:c r="O680" s="46" t="str">
        <x:f>IF(D680="","",MAX(0,MIN(1,N680/Configuracion!$B$10)))</x:f>
      </x:c>
    </x:row>
    <x:row r="681">
      <x:c r="A681" s="34"/>
      <x:c r="B681" s="36"/>
      <x:c r="C681" s="72"/>
      <x:c r="D681" s="71"/>
      <x:c r="E681" s="41" t="str">
        <x:f>IF(D681="","",D681+273.15)</x:f>
      </x:c>
      <x:c r="F681" s="44" t="str">
        <x:f>IF(OR(C681="",D681="",C680=""),"",(C681-C680)/60)</x:f>
      </x:c>
      <x:c r="G681" s="44" t="str">
        <x:f>IF(D681="","",EXP(-Configuracion!$B$4/Configuracion!$B$5*(1/AVERAGE(E680:E681)-1/(Configuracion!$B$3+273.15))))</x:f>
      </x:c>
      <x:c r="H681" s="44" t="str">
        <x:f>IF(D681="","",F681*G681)</x:f>
      </x:c>
      <x:c r="I681" s="44" t="str">
        <x:f>IF(D681="","",I680+H681)</x:f>
      </x:c>
      <x:c r="J681" s="46" t="str">
        <x:f>IF(D681="","",MIN(1,I681/Configuracion!$B$11))</x:f>
      </x:c>
      <x:c r="K681" s="48" t="str">
        <x:f>IF(D681="","",MAX(0,(Configuracion!$B$11-I681)/G681))</x:f>
      </x:c>
      <x:c r="L681" s="73" t="str">
        <x:f>IF(D681="","",C681+K681*60)</x:f>
      </x:c>
      <x:c r="M681" t="str">
        <x:f>IF(D681="","",IF(J681&gt;=Configuracion!$B$13,"DESLIZAR",IF(J681&gt;=Configuracion!$B$12,"PREPARARSE","NO DESLIZAR")))</x:f>
      </x:c>
      <x:c r="N681" s="41" t="str">
        <x:f>IF(D681="","",D681-$D$8)</x:f>
      </x:c>
      <x:c r="O681" s="46" t="str">
        <x:f>IF(D681="","",MAX(0,MIN(1,N681/Configuracion!$B$10)))</x:f>
      </x:c>
    </x:row>
    <x:row r="682">
      <x:c r="A682" s="34"/>
      <x:c r="B682" s="36"/>
      <x:c r="C682" s="72"/>
      <x:c r="D682" s="71"/>
      <x:c r="E682" s="41" t="str">
        <x:f>IF(D682="","",D682+273.15)</x:f>
      </x:c>
      <x:c r="F682" s="44" t="str">
        <x:f>IF(OR(C682="",D682="",C681=""),"",(C682-C681)/60)</x:f>
      </x:c>
      <x:c r="G682" s="44" t="str">
        <x:f>IF(D682="","",EXP(-Configuracion!$B$4/Configuracion!$B$5*(1/AVERAGE(E681:E682)-1/(Configuracion!$B$3+273.15))))</x:f>
      </x:c>
      <x:c r="H682" s="44" t="str">
        <x:f>IF(D682="","",F682*G682)</x:f>
      </x:c>
      <x:c r="I682" s="44" t="str">
        <x:f>IF(D682="","",I681+H682)</x:f>
      </x:c>
      <x:c r="J682" s="46" t="str">
        <x:f>IF(D682="","",MIN(1,I682/Configuracion!$B$11))</x:f>
      </x:c>
      <x:c r="K682" s="48" t="str">
        <x:f>IF(D682="","",MAX(0,(Configuracion!$B$11-I682)/G682))</x:f>
      </x:c>
      <x:c r="L682" s="73" t="str">
        <x:f>IF(D682="","",C682+K682*60)</x:f>
      </x:c>
      <x:c r="M682" t="str">
        <x:f>IF(D682="","",IF(J682&gt;=Configuracion!$B$13,"DESLIZAR",IF(J682&gt;=Configuracion!$B$12,"PREPARARSE","NO DESLIZAR")))</x:f>
      </x:c>
      <x:c r="N682" s="41" t="str">
        <x:f>IF(D682="","",D682-$D$8)</x:f>
      </x:c>
      <x:c r="O682" s="46" t="str">
        <x:f>IF(D682="","",MAX(0,MIN(1,N682/Configuracion!$B$10)))</x:f>
      </x:c>
    </x:row>
    <x:row r="683">
      <x:c r="A683" s="34"/>
      <x:c r="B683" s="36"/>
      <x:c r="C683" s="72"/>
      <x:c r="D683" s="71"/>
      <x:c r="E683" s="41" t="str">
        <x:f>IF(D683="","",D683+273.15)</x:f>
      </x:c>
      <x:c r="F683" s="44" t="str">
        <x:f>IF(OR(C683="",D683="",C682=""),"",(C683-C682)/60)</x:f>
      </x:c>
      <x:c r="G683" s="44" t="str">
        <x:f>IF(D683="","",EXP(-Configuracion!$B$4/Configuracion!$B$5*(1/AVERAGE(E682:E683)-1/(Configuracion!$B$3+273.15))))</x:f>
      </x:c>
      <x:c r="H683" s="44" t="str">
        <x:f>IF(D683="","",F683*G683)</x:f>
      </x:c>
      <x:c r="I683" s="44" t="str">
        <x:f>IF(D683="","",I682+H683)</x:f>
      </x:c>
      <x:c r="J683" s="46" t="str">
        <x:f>IF(D683="","",MIN(1,I683/Configuracion!$B$11))</x:f>
      </x:c>
      <x:c r="K683" s="48" t="str">
        <x:f>IF(D683="","",MAX(0,(Configuracion!$B$11-I683)/G683))</x:f>
      </x:c>
      <x:c r="L683" s="73" t="str">
        <x:f>IF(D683="","",C683+K683*60)</x:f>
      </x:c>
      <x:c r="M683" t="str">
        <x:f>IF(D683="","",IF(J683&gt;=Configuracion!$B$13,"DESLIZAR",IF(J683&gt;=Configuracion!$B$12,"PREPARARSE","NO DESLIZAR")))</x:f>
      </x:c>
      <x:c r="N683" s="41" t="str">
        <x:f>IF(D683="","",D683-$D$8)</x:f>
      </x:c>
      <x:c r="O683" s="46" t="str">
        <x:f>IF(D683="","",MAX(0,MIN(1,N683/Configuracion!$B$10)))</x:f>
      </x:c>
    </x:row>
    <x:row r="684">
      <x:c r="A684" s="34"/>
      <x:c r="B684" s="36"/>
      <x:c r="C684" s="72"/>
      <x:c r="D684" s="71"/>
      <x:c r="E684" s="41" t="str">
        <x:f>IF(D684="","",D684+273.15)</x:f>
      </x:c>
      <x:c r="F684" s="44" t="str">
        <x:f>IF(OR(C684="",D684="",C683=""),"",(C684-C683)/60)</x:f>
      </x:c>
      <x:c r="G684" s="44" t="str">
        <x:f>IF(D684="","",EXP(-Configuracion!$B$4/Configuracion!$B$5*(1/AVERAGE(E683:E684)-1/(Configuracion!$B$3+273.15))))</x:f>
      </x:c>
      <x:c r="H684" s="44" t="str">
        <x:f>IF(D684="","",F684*G684)</x:f>
      </x:c>
      <x:c r="I684" s="44" t="str">
        <x:f>IF(D684="","",I683+H684)</x:f>
      </x:c>
      <x:c r="J684" s="46" t="str">
        <x:f>IF(D684="","",MIN(1,I684/Configuracion!$B$11))</x:f>
      </x:c>
      <x:c r="K684" s="48" t="str">
        <x:f>IF(D684="","",MAX(0,(Configuracion!$B$11-I684)/G684))</x:f>
      </x:c>
      <x:c r="L684" s="73" t="str">
        <x:f>IF(D684="","",C684+K684*60)</x:f>
      </x:c>
      <x:c r="M684" t="str">
        <x:f>IF(D684="","",IF(J684&gt;=Configuracion!$B$13,"DESLIZAR",IF(J684&gt;=Configuracion!$B$12,"PREPARARSE","NO DESLIZAR")))</x:f>
      </x:c>
      <x:c r="N684" s="41" t="str">
        <x:f>IF(D684="","",D684-$D$8)</x:f>
      </x:c>
      <x:c r="O684" s="46" t="str">
        <x:f>IF(D684="","",MAX(0,MIN(1,N684/Configuracion!$B$10)))</x:f>
      </x:c>
    </x:row>
    <x:row r="685">
      <x:c r="A685" s="34"/>
      <x:c r="B685" s="36"/>
      <x:c r="C685" s="72"/>
      <x:c r="D685" s="71"/>
      <x:c r="E685" s="41" t="str">
        <x:f>IF(D685="","",D685+273.15)</x:f>
      </x:c>
      <x:c r="F685" s="44" t="str">
        <x:f>IF(OR(C685="",D685="",C684=""),"",(C685-C684)/60)</x:f>
      </x:c>
      <x:c r="G685" s="44" t="str">
        <x:f>IF(D685="","",EXP(-Configuracion!$B$4/Configuracion!$B$5*(1/AVERAGE(E684:E685)-1/(Configuracion!$B$3+273.15))))</x:f>
      </x:c>
      <x:c r="H685" s="44" t="str">
        <x:f>IF(D685="","",F685*G685)</x:f>
      </x:c>
      <x:c r="I685" s="44" t="str">
        <x:f>IF(D685="","",I684+H685)</x:f>
      </x:c>
      <x:c r="J685" s="46" t="str">
        <x:f>IF(D685="","",MIN(1,I685/Configuracion!$B$11))</x:f>
      </x:c>
      <x:c r="K685" s="48" t="str">
        <x:f>IF(D685="","",MAX(0,(Configuracion!$B$11-I685)/G685))</x:f>
      </x:c>
      <x:c r="L685" s="73" t="str">
        <x:f>IF(D685="","",C685+K685*60)</x:f>
      </x:c>
      <x:c r="M685" t="str">
        <x:f>IF(D685="","",IF(J685&gt;=Configuracion!$B$13,"DESLIZAR",IF(J685&gt;=Configuracion!$B$12,"PREPARARSE","NO DESLIZAR")))</x:f>
      </x:c>
      <x:c r="N685" s="41" t="str">
        <x:f>IF(D685="","",D685-$D$8)</x:f>
      </x:c>
      <x:c r="O685" s="46" t="str">
        <x:f>IF(D685="","",MAX(0,MIN(1,N685/Configuracion!$B$10)))</x:f>
      </x:c>
    </x:row>
    <x:row r="686">
      <x:c r="A686" s="34"/>
      <x:c r="B686" s="36"/>
      <x:c r="C686" s="72"/>
      <x:c r="D686" s="71"/>
      <x:c r="E686" s="41" t="str">
        <x:f>IF(D686="","",D686+273.15)</x:f>
      </x:c>
      <x:c r="F686" s="44" t="str">
        <x:f>IF(OR(C686="",D686="",C685=""),"",(C686-C685)/60)</x:f>
      </x:c>
      <x:c r="G686" s="44" t="str">
        <x:f>IF(D686="","",EXP(-Configuracion!$B$4/Configuracion!$B$5*(1/AVERAGE(E685:E686)-1/(Configuracion!$B$3+273.15))))</x:f>
      </x:c>
      <x:c r="H686" s="44" t="str">
        <x:f>IF(D686="","",F686*G686)</x:f>
      </x:c>
      <x:c r="I686" s="44" t="str">
        <x:f>IF(D686="","",I685+H686)</x:f>
      </x:c>
      <x:c r="J686" s="46" t="str">
        <x:f>IF(D686="","",MIN(1,I686/Configuracion!$B$11))</x:f>
      </x:c>
      <x:c r="K686" s="48" t="str">
        <x:f>IF(D686="","",MAX(0,(Configuracion!$B$11-I686)/G686))</x:f>
      </x:c>
      <x:c r="L686" s="73" t="str">
        <x:f>IF(D686="","",C686+K686*60)</x:f>
      </x:c>
      <x:c r="M686" t="str">
        <x:f>IF(D686="","",IF(J686&gt;=Configuracion!$B$13,"DESLIZAR",IF(J686&gt;=Configuracion!$B$12,"PREPARARSE","NO DESLIZAR")))</x:f>
      </x:c>
      <x:c r="N686" s="41" t="str">
        <x:f>IF(D686="","",D686-$D$8)</x:f>
      </x:c>
      <x:c r="O686" s="46" t="str">
        <x:f>IF(D686="","",MAX(0,MIN(1,N686/Configuracion!$B$10)))</x:f>
      </x:c>
    </x:row>
    <x:row r="687">
      <x:c r="A687" s="34"/>
      <x:c r="B687" s="36"/>
      <x:c r="C687" s="72"/>
      <x:c r="D687" s="71"/>
      <x:c r="E687" s="41" t="str">
        <x:f>IF(D687="","",D687+273.15)</x:f>
      </x:c>
      <x:c r="F687" s="44" t="str">
        <x:f>IF(OR(C687="",D687="",C686=""),"",(C687-C686)/60)</x:f>
      </x:c>
      <x:c r="G687" s="44" t="str">
        <x:f>IF(D687="","",EXP(-Configuracion!$B$4/Configuracion!$B$5*(1/AVERAGE(E686:E687)-1/(Configuracion!$B$3+273.15))))</x:f>
      </x:c>
      <x:c r="H687" s="44" t="str">
        <x:f>IF(D687="","",F687*G687)</x:f>
      </x:c>
      <x:c r="I687" s="44" t="str">
        <x:f>IF(D687="","",I686+H687)</x:f>
      </x:c>
      <x:c r="J687" s="46" t="str">
        <x:f>IF(D687="","",MIN(1,I687/Configuracion!$B$11))</x:f>
      </x:c>
      <x:c r="K687" s="48" t="str">
        <x:f>IF(D687="","",MAX(0,(Configuracion!$B$11-I687)/G687))</x:f>
      </x:c>
      <x:c r="L687" s="73" t="str">
        <x:f>IF(D687="","",C687+K687*60)</x:f>
      </x:c>
      <x:c r="M687" t="str">
        <x:f>IF(D687="","",IF(J687&gt;=Configuracion!$B$13,"DESLIZAR",IF(J687&gt;=Configuracion!$B$12,"PREPARARSE","NO DESLIZAR")))</x:f>
      </x:c>
      <x:c r="N687" s="41" t="str">
        <x:f>IF(D687="","",D687-$D$8)</x:f>
      </x:c>
      <x:c r="O687" s="46" t="str">
        <x:f>IF(D687="","",MAX(0,MIN(1,N687/Configuracion!$B$10)))</x:f>
      </x:c>
    </x:row>
    <x:row r="688">
      <x:c r="A688" s="34"/>
      <x:c r="B688" s="36"/>
      <x:c r="C688" s="72"/>
      <x:c r="D688" s="71"/>
      <x:c r="E688" s="41" t="str">
        <x:f>IF(D688="","",D688+273.15)</x:f>
      </x:c>
      <x:c r="F688" s="44" t="str">
        <x:f>IF(OR(C688="",D688="",C687=""),"",(C688-C687)/60)</x:f>
      </x:c>
      <x:c r="G688" s="44" t="str">
        <x:f>IF(D688="","",EXP(-Configuracion!$B$4/Configuracion!$B$5*(1/AVERAGE(E687:E688)-1/(Configuracion!$B$3+273.15))))</x:f>
      </x:c>
      <x:c r="H688" s="44" t="str">
        <x:f>IF(D688="","",F688*G688)</x:f>
      </x:c>
      <x:c r="I688" s="44" t="str">
        <x:f>IF(D688="","",I687+H688)</x:f>
      </x:c>
      <x:c r="J688" s="46" t="str">
        <x:f>IF(D688="","",MIN(1,I688/Configuracion!$B$11))</x:f>
      </x:c>
      <x:c r="K688" s="48" t="str">
        <x:f>IF(D688="","",MAX(0,(Configuracion!$B$11-I688)/G688))</x:f>
      </x:c>
      <x:c r="L688" s="73" t="str">
        <x:f>IF(D688="","",C688+K688*60)</x:f>
      </x:c>
      <x:c r="M688" t="str">
        <x:f>IF(D688="","",IF(J688&gt;=Configuracion!$B$13,"DESLIZAR",IF(J688&gt;=Configuracion!$B$12,"PREPARARSE","NO DESLIZAR")))</x:f>
      </x:c>
      <x:c r="N688" s="41" t="str">
        <x:f>IF(D688="","",D688-$D$8)</x:f>
      </x:c>
      <x:c r="O688" s="46" t="str">
        <x:f>IF(D688="","",MAX(0,MIN(1,N688/Configuracion!$B$10)))</x:f>
      </x:c>
    </x:row>
    <x:row r="689">
      <x:c r="A689" s="34"/>
      <x:c r="B689" s="36"/>
      <x:c r="C689" s="72"/>
      <x:c r="D689" s="71"/>
      <x:c r="E689" s="41" t="str">
        <x:f>IF(D689="","",D689+273.15)</x:f>
      </x:c>
      <x:c r="F689" s="44" t="str">
        <x:f>IF(OR(C689="",D689="",C688=""),"",(C689-C688)/60)</x:f>
      </x:c>
      <x:c r="G689" s="44" t="str">
        <x:f>IF(D689="","",EXP(-Configuracion!$B$4/Configuracion!$B$5*(1/AVERAGE(E688:E689)-1/(Configuracion!$B$3+273.15))))</x:f>
      </x:c>
      <x:c r="H689" s="44" t="str">
        <x:f>IF(D689="","",F689*G689)</x:f>
      </x:c>
      <x:c r="I689" s="44" t="str">
        <x:f>IF(D689="","",I688+H689)</x:f>
      </x:c>
      <x:c r="J689" s="46" t="str">
        <x:f>IF(D689="","",MIN(1,I689/Configuracion!$B$11))</x:f>
      </x:c>
      <x:c r="K689" s="48" t="str">
        <x:f>IF(D689="","",MAX(0,(Configuracion!$B$11-I689)/G689))</x:f>
      </x:c>
      <x:c r="L689" s="73" t="str">
        <x:f>IF(D689="","",C689+K689*60)</x:f>
      </x:c>
      <x:c r="M689" t="str">
        <x:f>IF(D689="","",IF(J689&gt;=Configuracion!$B$13,"DESLIZAR",IF(J689&gt;=Configuracion!$B$12,"PREPARARSE","NO DESLIZAR")))</x:f>
      </x:c>
      <x:c r="N689" s="41" t="str">
        <x:f>IF(D689="","",D689-$D$8)</x:f>
      </x:c>
      <x:c r="O689" s="46" t="str">
        <x:f>IF(D689="","",MAX(0,MIN(1,N689/Configuracion!$B$10)))</x:f>
      </x:c>
    </x:row>
    <x:row r="690">
      <x:c r="A690" s="34"/>
      <x:c r="B690" s="36"/>
      <x:c r="C690" s="72"/>
      <x:c r="D690" s="71"/>
      <x:c r="E690" s="41" t="str">
        <x:f>IF(D690="","",D690+273.15)</x:f>
      </x:c>
      <x:c r="F690" s="44" t="str">
        <x:f>IF(OR(C690="",D690="",C689=""),"",(C690-C689)/60)</x:f>
      </x:c>
      <x:c r="G690" s="44" t="str">
        <x:f>IF(D690="","",EXP(-Configuracion!$B$4/Configuracion!$B$5*(1/AVERAGE(E689:E690)-1/(Configuracion!$B$3+273.15))))</x:f>
      </x:c>
      <x:c r="H690" s="44" t="str">
        <x:f>IF(D690="","",F690*G690)</x:f>
      </x:c>
      <x:c r="I690" s="44" t="str">
        <x:f>IF(D690="","",I689+H690)</x:f>
      </x:c>
      <x:c r="J690" s="46" t="str">
        <x:f>IF(D690="","",MIN(1,I690/Configuracion!$B$11))</x:f>
      </x:c>
      <x:c r="K690" s="48" t="str">
        <x:f>IF(D690="","",MAX(0,(Configuracion!$B$11-I690)/G690))</x:f>
      </x:c>
      <x:c r="L690" s="73" t="str">
        <x:f>IF(D690="","",C690+K690*60)</x:f>
      </x:c>
      <x:c r="M690" t="str">
        <x:f>IF(D690="","",IF(J690&gt;=Configuracion!$B$13,"DESLIZAR",IF(J690&gt;=Configuracion!$B$12,"PREPARARSE","NO DESLIZAR")))</x:f>
      </x:c>
      <x:c r="N690" s="41" t="str">
        <x:f>IF(D690="","",D690-$D$8)</x:f>
      </x:c>
      <x:c r="O690" s="46" t="str">
        <x:f>IF(D690="","",MAX(0,MIN(1,N690/Configuracion!$B$10)))</x:f>
      </x:c>
    </x:row>
    <x:row r="691">
      <x:c r="A691" s="34"/>
      <x:c r="B691" s="36"/>
      <x:c r="C691" s="72"/>
      <x:c r="D691" s="71"/>
      <x:c r="E691" s="41" t="str">
        <x:f>IF(D691="","",D691+273.15)</x:f>
      </x:c>
      <x:c r="F691" s="44" t="str">
        <x:f>IF(OR(C691="",D691="",C690=""),"",(C691-C690)/60)</x:f>
      </x:c>
      <x:c r="G691" s="44" t="str">
        <x:f>IF(D691="","",EXP(-Configuracion!$B$4/Configuracion!$B$5*(1/AVERAGE(E690:E691)-1/(Configuracion!$B$3+273.15))))</x:f>
      </x:c>
      <x:c r="H691" s="44" t="str">
        <x:f>IF(D691="","",F691*G691)</x:f>
      </x:c>
      <x:c r="I691" s="44" t="str">
        <x:f>IF(D691="","",I690+H691)</x:f>
      </x:c>
      <x:c r="J691" s="46" t="str">
        <x:f>IF(D691="","",MIN(1,I691/Configuracion!$B$11))</x:f>
      </x:c>
      <x:c r="K691" s="48" t="str">
        <x:f>IF(D691="","",MAX(0,(Configuracion!$B$11-I691)/G691))</x:f>
      </x:c>
      <x:c r="L691" s="73" t="str">
        <x:f>IF(D691="","",C691+K691*60)</x:f>
      </x:c>
      <x:c r="M691" t="str">
        <x:f>IF(D691="","",IF(J691&gt;=Configuracion!$B$13,"DESLIZAR",IF(J691&gt;=Configuracion!$B$12,"PREPARARSE","NO DESLIZAR")))</x:f>
      </x:c>
      <x:c r="N691" s="41" t="str">
        <x:f>IF(D691="","",D691-$D$8)</x:f>
      </x:c>
      <x:c r="O691" s="46" t="str">
        <x:f>IF(D691="","",MAX(0,MIN(1,N691/Configuracion!$B$10)))</x:f>
      </x:c>
    </x:row>
    <x:row r="692">
      <x:c r="A692" s="34"/>
      <x:c r="B692" s="36"/>
      <x:c r="C692" s="72"/>
      <x:c r="D692" s="71"/>
      <x:c r="E692" s="41" t="str">
        <x:f>IF(D692="","",D692+273.15)</x:f>
      </x:c>
      <x:c r="F692" s="44" t="str">
        <x:f>IF(OR(C692="",D692="",C691=""),"",(C692-C691)/60)</x:f>
      </x:c>
      <x:c r="G692" s="44" t="str">
        <x:f>IF(D692="","",EXP(-Configuracion!$B$4/Configuracion!$B$5*(1/AVERAGE(E691:E692)-1/(Configuracion!$B$3+273.15))))</x:f>
      </x:c>
      <x:c r="H692" s="44" t="str">
        <x:f>IF(D692="","",F692*G692)</x:f>
      </x:c>
      <x:c r="I692" s="44" t="str">
        <x:f>IF(D692="","",I691+H692)</x:f>
      </x:c>
      <x:c r="J692" s="46" t="str">
        <x:f>IF(D692="","",MIN(1,I692/Configuracion!$B$11))</x:f>
      </x:c>
      <x:c r="K692" s="48" t="str">
        <x:f>IF(D692="","",MAX(0,(Configuracion!$B$11-I692)/G692))</x:f>
      </x:c>
      <x:c r="L692" s="73" t="str">
        <x:f>IF(D692="","",C692+K692*60)</x:f>
      </x:c>
      <x:c r="M692" t="str">
        <x:f>IF(D692="","",IF(J692&gt;=Configuracion!$B$13,"DESLIZAR",IF(J692&gt;=Configuracion!$B$12,"PREPARARSE","NO DESLIZAR")))</x:f>
      </x:c>
      <x:c r="N692" s="41" t="str">
        <x:f>IF(D692="","",D692-$D$8)</x:f>
      </x:c>
      <x:c r="O692" s="46" t="str">
        <x:f>IF(D692="","",MAX(0,MIN(1,N692/Configuracion!$B$10)))</x:f>
      </x:c>
    </x:row>
    <x:row r="693">
      <x:c r="A693" s="34"/>
      <x:c r="B693" s="36"/>
      <x:c r="C693" s="72"/>
      <x:c r="D693" s="71"/>
      <x:c r="E693" s="41" t="str">
        <x:f>IF(D693="","",D693+273.15)</x:f>
      </x:c>
      <x:c r="F693" s="44" t="str">
        <x:f>IF(OR(C693="",D693="",C692=""),"",(C693-C692)/60)</x:f>
      </x:c>
      <x:c r="G693" s="44" t="str">
        <x:f>IF(D693="","",EXP(-Configuracion!$B$4/Configuracion!$B$5*(1/AVERAGE(E692:E693)-1/(Configuracion!$B$3+273.15))))</x:f>
      </x:c>
      <x:c r="H693" s="44" t="str">
        <x:f>IF(D693="","",F693*G693)</x:f>
      </x:c>
      <x:c r="I693" s="44" t="str">
        <x:f>IF(D693="","",I692+H693)</x:f>
      </x:c>
      <x:c r="J693" s="46" t="str">
        <x:f>IF(D693="","",MIN(1,I693/Configuracion!$B$11))</x:f>
      </x:c>
      <x:c r="K693" s="48" t="str">
        <x:f>IF(D693="","",MAX(0,(Configuracion!$B$11-I693)/G693))</x:f>
      </x:c>
      <x:c r="L693" s="73" t="str">
        <x:f>IF(D693="","",C693+K693*60)</x:f>
      </x:c>
      <x:c r="M693" t="str">
        <x:f>IF(D693="","",IF(J693&gt;=Configuracion!$B$13,"DESLIZAR",IF(J693&gt;=Configuracion!$B$12,"PREPARARSE","NO DESLIZAR")))</x:f>
      </x:c>
      <x:c r="N693" s="41" t="str">
        <x:f>IF(D693="","",D693-$D$8)</x:f>
      </x:c>
      <x:c r="O693" s="46" t="str">
        <x:f>IF(D693="","",MAX(0,MIN(1,N693/Configuracion!$B$10)))</x:f>
      </x:c>
    </x:row>
    <x:row r="694">
      <x:c r="A694" s="34"/>
      <x:c r="B694" s="36"/>
      <x:c r="C694" s="72"/>
      <x:c r="D694" s="71"/>
      <x:c r="E694" s="41" t="str">
        <x:f>IF(D694="","",D694+273.15)</x:f>
      </x:c>
      <x:c r="F694" s="44" t="str">
        <x:f>IF(OR(C694="",D694="",C693=""),"",(C694-C693)/60)</x:f>
      </x:c>
      <x:c r="G694" s="44" t="str">
        <x:f>IF(D694="","",EXP(-Configuracion!$B$4/Configuracion!$B$5*(1/AVERAGE(E693:E694)-1/(Configuracion!$B$3+273.15))))</x:f>
      </x:c>
      <x:c r="H694" s="44" t="str">
        <x:f>IF(D694="","",F694*G694)</x:f>
      </x:c>
      <x:c r="I694" s="44" t="str">
        <x:f>IF(D694="","",I693+H694)</x:f>
      </x:c>
      <x:c r="J694" s="46" t="str">
        <x:f>IF(D694="","",MIN(1,I694/Configuracion!$B$11))</x:f>
      </x:c>
      <x:c r="K694" s="48" t="str">
        <x:f>IF(D694="","",MAX(0,(Configuracion!$B$11-I694)/G694))</x:f>
      </x:c>
      <x:c r="L694" s="73" t="str">
        <x:f>IF(D694="","",C694+K694*60)</x:f>
      </x:c>
      <x:c r="M694" t="str">
        <x:f>IF(D694="","",IF(J694&gt;=Configuracion!$B$13,"DESLIZAR",IF(J694&gt;=Configuracion!$B$12,"PREPARARSE","NO DESLIZAR")))</x:f>
      </x:c>
      <x:c r="N694" s="41" t="str">
        <x:f>IF(D694="","",D694-$D$8)</x:f>
      </x:c>
      <x:c r="O694" s="46" t="str">
        <x:f>IF(D694="","",MAX(0,MIN(1,N694/Configuracion!$B$10)))</x:f>
      </x:c>
    </x:row>
    <x:row r="695">
      <x:c r="A695" s="34"/>
      <x:c r="B695" s="36"/>
      <x:c r="C695" s="72"/>
      <x:c r="D695" s="71"/>
      <x:c r="E695" s="41" t="str">
        <x:f>IF(D695="","",D695+273.15)</x:f>
      </x:c>
      <x:c r="F695" s="44" t="str">
        <x:f>IF(OR(C695="",D695="",C694=""),"",(C695-C694)/60)</x:f>
      </x:c>
      <x:c r="G695" s="44" t="str">
        <x:f>IF(D695="","",EXP(-Configuracion!$B$4/Configuracion!$B$5*(1/AVERAGE(E694:E695)-1/(Configuracion!$B$3+273.15))))</x:f>
      </x:c>
      <x:c r="H695" s="44" t="str">
        <x:f>IF(D695="","",F695*G695)</x:f>
      </x:c>
      <x:c r="I695" s="44" t="str">
        <x:f>IF(D695="","",I694+H695)</x:f>
      </x:c>
      <x:c r="J695" s="46" t="str">
        <x:f>IF(D695="","",MIN(1,I695/Configuracion!$B$11))</x:f>
      </x:c>
      <x:c r="K695" s="48" t="str">
        <x:f>IF(D695="","",MAX(0,(Configuracion!$B$11-I695)/G695))</x:f>
      </x:c>
      <x:c r="L695" s="73" t="str">
        <x:f>IF(D695="","",C695+K695*60)</x:f>
      </x:c>
      <x:c r="M695" t="str">
        <x:f>IF(D695="","",IF(J695&gt;=Configuracion!$B$13,"DESLIZAR",IF(J695&gt;=Configuracion!$B$12,"PREPARARSE","NO DESLIZAR")))</x:f>
      </x:c>
      <x:c r="N695" s="41" t="str">
        <x:f>IF(D695="","",D695-$D$8)</x:f>
      </x:c>
      <x:c r="O695" s="46" t="str">
        <x:f>IF(D695="","",MAX(0,MIN(1,N695/Configuracion!$B$10)))</x:f>
      </x:c>
    </x:row>
    <x:row r="696">
      <x:c r="A696" s="34"/>
      <x:c r="B696" s="36"/>
      <x:c r="C696" s="72"/>
      <x:c r="D696" s="71"/>
      <x:c r="E696" s="41" t="str">
        <x:f>IF(D696="","",D696+273.15)</x:f>
      </x:c>
      <x:c r="F696" s="44" t="str">
        <x:f>IF(OR(C696="",D696="",C695=""),"",(C696-C695)/60)</x:f>
      </x:c>
      <x:c r="G696" s="44" t="str">
        <x:f>IF(D696="","",EXP(-Configuracion!$B$4/Configuracion!$B$5*(1/AVERAGE(E695:E696)-1/(Configuracion!$B$3+273.15))))</x:f>
      </x:c>
      <x:c r="H696" s="44" t="str">
        <x:f>IF(D696="","",F696*G696)</x:f>
      </x:c>
      <x:c r="I696" s="44" t="str">
        <x:f>IF(D696="","",I695+H696)</x:f>
      </x:c>
      <x:c r="J696" s="46" t="str">
        <x:f>IF(D696="","",MIN(1,I696/Configuracion!$B$11))</x:f>
      </x:c>
      <x:c r="K696" s="48" t="str">
        <x:f>IF(D696="","",MAX(0,(Configuracion!$B$11-I696)/G696))</x:f>
      </x:c>
      <x:c r="L696" s="73" t="str">
        <x:f>IF(D696="","",C696+K696*60)</x:f>
      </x:c>
      <x:c r="M696" t="str">
        <x:f>IF(D696="","",IF(J696&gt;=Configuracion!$B$13,"DESLIZAR",IF(J696&gt;=Configuracion!$B$12,"PREPARARSE","NO DESLIZAR")))</x:f>
      </x:c>
      <x:c r="N696" s="41" t="str">
        <x:f>IF(D696="","",D696-$D$8)</x:f>
      </x:c>
      <x:c r="O696" s="46" t="str">
        <x:f>IF(D696="","",MAX(0,MIN(1,N696/Configuracion!$B$10)))</x:f>
      </x:c>
    </x:row>
    <x:row r="697">
      <x:c r="A697" s="34"/>
      <x:c r="B697" s="36"/>
      <x:c r="C697" s="72"/>
      <x:c r="D697" s="71"/>
      <x:c r="E697" s="41" t="str">
        <x:f>IF(D697="","",D697+273.15)</x:f>
      </x:c>
      <x:c r="F697" s="44" t="str">
        <x:f>IF(OR(C697="",D697="",C696=""),"",(C697-C696)/60)</x:f>
      </x:c>
      <x:c r="G697" s="44" t="str">
        <x:f>IF(D697="","",EXP(-Configuracion!$B$4/Configuracion!$B$5*(1/AVERAGE(E696:E697)-1/(Configuracion!$B$3+273.15))))</x:f>
      </x:c>
      <x:c r="H697" s="44" t="str">
        <x:f>IF(D697="","",F697*G697)</x:f>
      </x:c>
      <x:c r="I697" s="44" t="str">
        <x:f>IF(D697="","",I696+H697)</x:f>
      </x:c>
      <x:c r="J697" s="46" t="str">
        <x:f>IF(D697="","",MIN(1,I697/Configuracion!$B$11))</x:f>
      </x:c>
      <x:c r="K697" s="48" t="str">
        <x:f>IF(D697="","",MAX(0,(Configuracion!$B$11-I697)/G697))</x:f>
      </x:c>
      <x:c r="L697" s="73" t="str">
        <x:f>IF(D697="","",C697+K697*60)</x:f>
      </x:c>
      <x:c r="M697" t="str">
        <x:f>IF(D697="","",IF(J697&gt;=Configuracion!$B$13,"DESLIZAR",IF(J697&gt;=Configuracion!$B$12,"PREPARARSE","NO DESLIZAR")))</x:f>
      </x:c>
      <x:c r="N697" s="41" t="str">
        <x:f>IF(D697="","",D697-$D$8)</x:f>
      </x:c>
      <x:c r="O697" s="46" t="str">
        <x:f>IF(D697="","",MAX(0,MIN(1,N697/Configuracion!$B$10)))</x:f>
      </x:c>
    </x:row>
    <x:row r="698">
      <x:c r="A698" s="34"/>
      <x:c r="B698" s="36"/>
      <x:c r="C698" s="72"/>
      <x:c r="D698" s="71"/>
      <x:c r="E698" s="41" t="str">
        <x:f>IF(D698="","",D698+273.15)</x:f>
      </x:c>
      <x:c r="F698" s="44" t="str">
        <x:f>IF(OR(C698="",D698="",C697=""),"",(C698-C697)/60)</x:f>
      </x:c>
      <x:c r="G698" s="44" t="str">
        <x:f>IF(D698="","",EXP(-Configuracion!$B$4/Configuracion!$B$5*(1/AVERAGE(E697:E698)-1/(Configuracion!$B$3+273.15))))</x:f>
      </x:c>
      <x:c r="H698" s="44" t="str">
        <x:f>IF(D698="","",F698*G698)</x:f>
      </x:c>
      <x:c r="I698" s="44" t="str">
        <x:f>IF(D698="","",I697+H698)</x:f>
      </x:c>
      <x:c r="J698" s="46" t="str">
        <x:f>IF(D698="","",MIN(1,I698/Configuracion!$B$11))</x:f>
      </x:c>
      <x:c r="K698" s="48" t="str">
        <x:f>IF(D698="","",MAX(0,(Configuracion!$B$11-I698)/G698))</x:f>
      </x:c>
      <x:c r="L698" s="73" t="str">
        <x:f>IF(D698="","",C698+K698*60)</x:f>
      </x:c>
      <x:c r="M698" t="str">
        <x:f>IF(D698="","",IF(J698&gt;=Configuracion!$B$13,"DESLIZAR",IF(J698&gt;=Configuracion!$B$12,"PREPARARSE","NO DESLIZAR")))</x:f>
      </x:c>
      <x:c r="N698" s="41" t="str">
        <x:f>IF(D698="","",D698-$D$8)</x:f>
      </x:c>
      <x:c r="O698" s="46" t="str">
        <x:f>IF(D698="","",MAX(0,MIN(1,N698/Configuracion!$B$10)))</x:f>
      </x:c>
    </x:row>
    <x:row r="699">
      <x:c r="A699" s="34"/>
      <x:c r="B699" s="36"/>
      <x:c r="C699" s="72"/>
      <x:c r="D699" s="71"/>
      <x:c r="E699" s="41" t="str">
        <x:f>IF(D699="","",D699+273.15)</x:f>
      </x:c>
      <x:c r="F699" s="44" t="str">
        <x:f>IF(OR(C699="",D699="",C698=""),"",(C699-C698)/60)</x:f>
      </x:c>
      <x:c r="G699" s="44" t="str">
        <x:f>IF(D699="","",EXP(-Configuracion!$B$4/Configuracion!$B$5*(1/AVERAGE(E698:E699)-1/(Configuracion!$B$3+273.15))))</x:f>
      </x:c>
      <x:c r="H699" s="44" t="str">
        <x:f>IF(D699="","",F699*G699)</x:f>
      </x:c>
      <x:c r="I699" s="44" t="str">
        <x:f>IF(D699="","",I698+H699)</x:f>
      </x:c>
      <x:c r="J699" s="46" t="str">
        <x:f>IF(D699="","",MIN(1,I699/Configuracion!$B$11))</x:f>
      </x:c>
      <x:c r="K699" s="48" t="str">
        <x:f>IF(D699="","",MAX(0,(Configuracion!$B$11-I699)/G699))</x:f>
      </x:c>
      <x:c r="L699" s="73" t="str">
        <x:f>IF(D699="","",C699+K699*60)</x:f>
      </x:c>
      <x:c r="M699" t="str">
        <x:f>IF(D699="","",IF(J699&gt;=Configuracion!$B$13,"DESLIZAR",IF(J699&gt;=Configuracion!$B$12,"PREPARARSE","NO DESLIZAR")))</x:f>
      </x:c>
      <x:c r="N699" s="41" t="str">
        <x:f>IF(D699="","",D699-$D$8)</x:f>
      </x:c>
      <x:c r="O699" s="46" t="str">
        <x:f>IF(D699="","",MAX(0,MIN(1,N699/Configuracion!$B$10)))</x:f>
      </x:c>
    </x:row>
    <x:row r="700">
      <x:c r="A700" s="34"/>
      <x:c r="B700" s="36"/>
      <x:c r="C700" s="72"/>
      <x:c r="D700" s="71"/>
      <x:c r="E700" s="41" t="str">
        <x:f>IF(D700="","",D700+273.15)</x:f>
      </x:c>
      <x:c r="F700" s="44" t="str">
        <x:f>IF(OR(C700="",D700="",C699=""),"",(C700-C699)/60)</x:f>
      </x:c>
      <x:c r="G700" s="44" t="str">
        <x:f>IF(D700="","",EXP(-Configuracion!$B$4/Configuracion!$B$5*(1/AVERAGE(E699:E700)-1/(Configuracion!$B$3+273.15))))</x:f>
      </x:c>
      <x:c r="H700" s="44" t="str">
        <x:f>IF(D700="","",F700*G700)</x:f>
      </x:c>
      <x:c r="I700" s="44" t="str">
        <x:f>IF(D700="","",I699+H700)</x:f>
      </x:c>
      <x:c r="J700" s="46" t="str">
        <x:f>IF(D700="","",MIN(1,I700/Configuracion!$B$11))</x:f>
      </x:c>
      <x:c r="K700" s="48" t="str">
        <x:f>IF(D700="","",MAX(0,(Configuracion!$B$11-I700)/G700))</x:f>
      </x:c>
      <x:c r="L700" s="73" t="str">
        <x:f>IF(D700="","",C700+K700*60)</x:f>
      </x:c>
      <x:c r="M700" t="str">
        <x:f>IF(D700="","",IF(J700&gt;=Configuracion!$B$13,"DESLIZAR",IF(J700&gt;=Configuracion!$B$12,"PREPARARSE","NO DESLIZAR")))</x:f>
      </x:c>
      <x:c r="N700" s="41" t="str">
        <x:f>IF(D700="","",D700-$D$8)</x:f>
      </x:c>
      <x:c r="O700" s="46" t="str">
        <x:f>IF(D700="","",MAX(0,MIN(1,N700/Configuracion!$B$10)))</x:f>
      </x:c>
    </x:row>
    <x:row r="701">
      <x:c r="A701" s="34"/>
      <x:c r="B701" s="36"/>
      <x:c r="C701" s="72"/>
      <x:c r="D701" s="71"/>
      <x:c r="E701" s="41" t="str">
        <x:f>IF(D701="","",D701+273.15)</x:f>
      </x:c>
      <x:c r="F701" s="44" t="str">
        <x:f>IF(OR(C701="",D701="",C700=""),"",(C701-C700)/60)</x:f>
      </x:c>
      <x:c r="G701" s="44" t="str">
        <x:f>IF(D701="","",EXP(-Configuracion!$B$4/Configuracion!$B$5*(1/AVERAGE(E700:E701)-1/(Configuracion!$B$3+273.15))))</x:f>
      </x:c>
      <x:c r="H701" s="44" t="str">
        <x:f>IF(D701="","",F701*G701)</x:f>
      </x:c>
      <x:c r="I701" s="44" t="str">
        <x:f>IF(D701="","",I700+H701)</x:f>
      </x:c>
      <x:c r="J701" s="46" t="str">
        <x:f>IF(D701="","",MIN(1,I701/Configuracion!$B$11))</x:f>
      </x:c>
      <x:c r="K701" s="48" t="str">
        <x:f>IF(D701="","",MAX(0,(Configuracion!$B$11-I701)/G701))</x:f>
      </x:c>
      <x:c r="L701" s="73" t="str">
        <x:f>IF(D701="","",C701+K701*60)</x:f>
      </x:c>
      <x:c r="M701" t="str">
        <x:f>IF(D701="","",IF(J701&gt;=Configuracion!$B$13,"DESLIZAR",IF(J701&gt;=Configuracion!$B$12,"PREPARARSE","NO DESLIZAR")))</x:f>
      </x:c>
      <x:c r="N701" s="41" t="str">
        <x:f>IF(D701="","",D701-$D$8)</x:f>
      </x:c>
      <x:c r="O701" s="46" t="str">
        <x:f>IF(D701="","",MAX(0,MIN(1,N701/Configuracion!$B$10)))</x:f>
      </x:c>
    </x:row>
    <x:row r="702">
      <x:c r="A702" s="34"/>
      <x:c r="B702" s="36"/>
      <x:c r="C702" s="72"/>
      <x:c r="D702" s="71"/>
      <x:c r="E702" s="41" t="str">
        <x:f>IF(D702="","",D702+273.15)</x:f>
      </x:c>
      <x:c r="F702" s="44" t="str">
        <x:f>IF(OR(C702="",D702="",C701=""),"",(C702-C701)/60)</x:f>
      </x:c>
      <x:c r="G702" s="44" t="str">
        <x:f>IF(D702="","",EXP(-Configuracion!$B$4/Configuracion!$B$5*(1/AVERAGE(E701:E702)-1/(Configuracion!$B$3+273.15))))</x:f>
      </x:c>
      <x:c r="H702" s="44" t="str">
        <x:f>IF(D702="","",F702*G702)</x:f>
      </x:c>
      <x:c r="I702" s="44" t="str">
        <x:f>IF(D702="","",I701+H702)</x:f>
      </x:c>
      <x:c r="J702" s="46" t="str">
        <x:f>IF(D702="","",MIN(1,I702/Configuracion!$B$11))</x:f>
      </x:c>
      <x:c r="K702" s="48" t="str">
        <x:f>IF(D702="","",MAX(0,(Configuracion!$B$11-I702)/G702))</x:f>
      </x:c>
      <x:c r="L702" s="73" t="str">
        <x:f>IF(D702="","",C702+K702*60)</x:f>
      </x:c>
      <x:c r="M702" t="str">
        <x:f>IF(D702="","",IF(J702&gt;=Configuracion!$B$13,"DESLIZAR",IF(J702&gt;=Configuracion!$B$12,"PREPARARSE","NO DESLIZAR")))</x:f>
      </x:c>
      <x:c r="N702" s="41" t="str">
        <x:f>IF(D702="","",D702-$D$8)</x:f>
      </x:c>
      <x:c r="O702" s="46" t="str">
        <x:f>IF(D702="","",MAX(0,MIN(1,N702/Configuracion!$B$10)))</x:f>
      </x:c>
    </x:row>
    <x:row r="703">
      <x:c r="A703" s="34"/>
      <x:c r="B703" s="36"/>
      <x:c r="C703" s="72"/>
      <x:c r="D703" s="71"/>
      <x:c r="E703" s="41" t="str">
        <x:f>IF(D703="","",D703+273.15)</x:f>
      </x:c>
      <x:c r="F703" s="44" t="str">
        <x:f>IF(OR(C703="",D703="",C702=""),"",(C703-C702)/60)</x:f>
      </x:c>
      <x:c r="G703" s="44" t="str">
        <x:f>IF(D703="","",EXP(-Configuracion!$B$4/Configuracion!$B$5*(1/AVERAGE(E702:E703)-1/(Configuracion!$B$3+273.15))))</x:f>
      </x:c>
      <x:c r="H703" s="44" t="str">
        <x:f>IF(D703="","",F703*G703)</x:f>
      </x:c>
      <x:c r="I703" s="44" t="str">
        <x:f>IF(D703="","",I702+H703)</x:f>
      </x:c>
      <x:c r="J703" s="46" t="str">
        <x:f>IF(D703="","",MIN(1,I703/Configuracion!$B$11))</x:f>
      </x:c>
      <x:c r="K703" s="48" t="str">
        <x:f>IF(D703="","",MAX(0,(Configuracion!$B$11-I703)/G703))</x:f>
      </x:c>
      <x:c r="L703" s="73" t="str">
        <x:f>IF(D703="","",C703+K703*60)</x:f>
      </x:c>
      <x:c r="M703" t="str">
        <x:f>IF(D703="","",IF(J703&gt;=Configuracion!$B$13,"DESLIZAR",IF(J703&gt;=Configuracion!$B$12,"PREPARARSE","NO DESLIZAR")))</x:f>
      </x:c>
      <x:c r="N703" s="41" t="str">
        <x:f>IF(D703="","",D703-$D$8)</x:f>
      </x:c>
      <x:c r="O703" s="46" t="str">
        <x:f>IF(D703="","",MAX(0,MIN(1,N703/Configuracion!$B$10)))</x:f>
      </x:c>
    </x:row>
    <x:row r="704">
      <x:c r="A704" s="34"/>
      <x:c r="B704" s="36"/>
      <x:c r="C704" s="72"/>
      <x:c r="D704" s="71"/>
      <x:c r="E704" s="41" t="str">
        <x:f>IF(D704="","",D704+273.15)</x:f>
      </x:c>
      <x:c r="F704" s="44" t="str">
        <x:f>IF(OR(C704="",D704="",C703=""),"",(C704-C703)/60)</x:f>
      </x:c>
      <x:c r="G704" s="44" t="str">
        <x:f>IF(D704="","",EXP(-Configuracion!$B$4/Configuracion!$B$5*(1/AVERAGE(E703:E704)-1/(Configuracion!$B$3+273.15))))</x:f>
      </x:c>
      <x:c r="H704" s="44" t="str">
        <x:f>IF(D704="","",F704*G704)</x:f>
      </x:c>
      <x:c r="I704" s="44" t="str">
        <x:f>IF(D704="","",I703+H704)</x:f>
      </x:c>
      <x:c r="J704" s="46" t="str">
        <x:f>IF(D704="","",MIN(1,I704/Configuracion!$B$11))</x:f>
      </x:c>
      <x:c r="K704" s="48" t="str">
        <x:f>IF(D704="","",MAX(0,(Configuracion!$B$11-I704)/G704))</x:f>
      </x:c>
      <x:c r="L704" s="73" t="str">
        <x:f>IF(D704="","",C704+K704*60)</x:f>
      </x:c>
      <x:c r="M704" t="str">
        <x:f>IF(D704="","",IF(J704&gt;=Configuracion!$B$13,"DESLIZAR",IF(J704&gt;=Configuracion!$B$12,"PREPARARSE","NO DESLIZAR")))</x:f>
      </x:c>
      <x:c r="N704" s="41" t="str">
        <x:f>IF(D704="","",D704-$D$8)</x:f>
      </x:c>
      <x:c r="O704" s="46" t="str">
        <x:f>IF(D704="","",MAX(0,MIN(1,N704/Configuracion!$B$10)))</x:f>
      </x:c>
    </x:row>
    <x:row r="705">
      <x:c r="A705" s="34"/>
      <x:c r="B705" s="36"/>
      <x:c r="C705" s="72"/>
      <x:c r="D705" s="71"/>
      <x:c r="E705" s="41" t="str">
        <x:f>IF(D705="","",D705+273.15)</x:f>
      </x:c>
      <x:c r="F705" s="44" t="str">
        <x:f>IF(OR(C705="",D705="",C704=""),"",(C705-C704)/60)</x:f>
      </x:c>
      <x:c r="G705" s="44" t="str">
        <x:f>IF(D705="","",EXP(-Configuracion!$B$4/Configuracion!$B$5*(1/AVERAGE(E704:E705)-1/(Configuracion!$B$3+273.15))))</x:f>
      </x:c>
      <x:c r="H705" s="44" t="str">
        <x:f>IF(D705="","",F705*G705)</x:f>
      </x:c>
      <x:c r="I705" s="44" t="str">
        <x:f>IF(D705="","",I704+H705)</x:f>
      </x:c>
      <x:c r="J705" s="46" t="str">
        <x:f>IF(D705="","",MIN(1,I705/Configuracion!$B$11))</x:f>
      </x:c>
      <x:c r="K705" s="48" t="str">
        <x:f>IF(D705="","",MAX(0,(Configuracion!$B$11-I705)/G705))</x:f>
      </x:c>
      <x:c r="L705" s="73" t="str">
        <x:f>IF(D705="","",C705+K705*60)</x:f>
      </x:c>
      <x:c r="M705" t="str">
        <x:f>IF(D705="","",IF(J705&gt;=Configuracion!$B$13,"DESLIZAR",IF(J705&gt;=Configuracion!$B$12,"PREPARARSE","NO DESLIZAR")))</x:f>
      </x:c>
      <x:c r="N705" s="41" t="str">
        <x:f>IF(D705="","",D705-$D$8)</x:f>
      </x:c>
      <x:c r="O705" s="46" t="str">
        <x:f>IF(D705="","",MAX(0,MIN(1,N705/Configuracion!$B$10)))</x:f>
      </x:c>
    </x:row>
    <x:row r="706">
      <x:c r="A706" s="34"/>
      <x:c r="B706" s="36"/>
      <x:c r="C706" s="72"/>
      <x:c r="D706" s="71"/>
      <x:c r="E706" s="41" t="str">
        <x:f>IF(D706="","",D706+273.15)</x:f>
      </x:c>
      <x:c r="F706" s="44" t="str">
        <x:f>IF(OR(C706="",D706="",C705=""),"",(C706-C705)/60)</x:f>
      </x:c>
      <x:c r="G706" s="44" t="str">
        <x:f>IF(D706="","",EXP(-Configuracion!$B$4/Configuracion!$B$5*(1/AVERAGE(E705:E706)-1/(Configuracion!$B$3+273.15))))</x:f>
      </x:c>
      <x:c r="H706" s="44" t="str">
        <x:f>IF(D706="","",F706*G706)</x:f>
      </x:c>
      <x:c r="I706" s="44" t="str">
        <x:f>IF(D706="","",I705+H706)</x:f>
      </x:c>
      <x:c r="J706" s="46" t="str">
        <x:f>IF(D706="","",MIN(1,I706/Configuracion!$B$11))</x:f>
      </x:c>
      <x:c r="K706" s="48" t="str">
        <x:f>IF(D706="","",MAX(0,(Configuracion!$B$11-I706)/G706))</x:f>
      </x:c>
      <x:c r="L706" s="73" t="str">
        <x:f>IF(D706="","",C706+K706*60)</x:f>
      </x:c>
      <x:c r="M706" t="str">
        <x:f>IF(D706="","",IF(J706&gt;=Configuracion!$B$13,"DESLIZAR",IF(J706&gt;=Configuracion!$B$12,"PREPARARSE","NO DESLIZAR")))</x:f>
      </x:c>
      <x:c r="N706" s="41" t="str">
        <x:f>IF(D706="","",D706-$D$8)</x:f>
      </x:c>
      <x:c r="O706" s="46" t="str">
        <x:f>IF(D706="","",MAX(0,MIN(1,N706/Configuracion!$B$10)))</x:f>
      </x:c>
    </x:row>
    <x:row r="707">
      <x:c r="A707" s="34"/>
      <x:c r="B707" s="36"/>
      <x:c r="C707" s="72"/>
      <x:c r="D707" s="71"/>
      <x:c r="E707" s="41" t="str">
        <x:f>IF(D707="","",D707+273.15)</x:f>
      </x:c>
      <x:c r="F707" s="44" t="str">
        <x:f>IF(OR(C707="",D707="",C706=""),"",(C707-C706)/60)</x:f>
      </x:c>
      <x:c r="G707" s="44" t="str">
        <x:f>IF(D707="","",EXP(-Configuracion!$B$4/Configuracion!$B$5*(1/AVERAGE(E706:E707)-1/(Configuracion!$B$3+273.15))))</x:f>
      </x:c>
      <x:c r="H707" s="44" t="str">
        <x:f>IF(D707="","",F707*G707)</x:f>
      </x:c>
      <x:c r="I707" s="44" t="str">
        <x:f>IF(D707="","",I706+H707)</x:f>
      </x:c>
      <x:c r="J707" s="46" t="str">
        <x:f>IF(D707="","",MIN(1,I707/Configuracion!$B$11))</x:f>
      </x:c>
      <x:c r="K707" s="48" t="str">
        <x:f>IF(D707="","",MAX(0,(Configuracion!$B$11-I707)/G707))</x:f>
      </x:c>
      <x:c r="L707" s="73" t="str">
        <x:f>IF(D707="","",C707+K707*60)</x:f>
      </x:c>
      <x:c r="M707" t="str">
        <x:f>IF(D707="","",IF(J707&gt;=Configuracion!$B$13,"DESLIZAR",IF(J707&gt;=Configuracion!$B$12,"PREPARARSE","NO DESLIZAR")))</x:f>
      </x:c>
      <x:c r="N707" s="41" t="str">
        <x:f>IF(D707="","",D707-$D$8)</x:f>
      </x:c>
      <x:c r="O707" s="46" t="str">
        <x:f>IF(D707="","",MAX(0,MIN(1,N707/Configuracion!$B$10)))</x:f>
      </x:c>
    </x:row>
    <x:row r="708">
      <x:c r="A708" s="34"/>
      <x:c r="B708" s="36"/>
      <x:c r="C708" s="72"/>
      <x:c r="D708" s="71"/>
      <x:c r="E708" s="41" t="str">
        <x:f>IF(D708="","",D708+273.15)</x:f>
      </x:c>
      <x:c r="F708" s="44" t="str">
        <x:f>IF(OR(C708="",D708="",C707=""),"",(C708-C707)/60)</x:f>
      </x:c>
      <x:c r="G708" s="44" t="str">
        <x:f>IF(D708="","",EXP(-Configuracion!$B$4/Configuracion!$B$5*(1/AVERAGE(E707:E708)-1/(Configuracion!$B$3+273.15))))</x:f>
      </x:c>
      <x:c r="H708" s="44" t="str">
        <x:f>IF(D708="","",F708*G708)</x:f>
      </x:c>
      <x:c r="I708" s="44" t="str">
        <x:f>IF(D708="","",I707+H708)</x:f>
      </x:c>
      <x:c r="J708" s="46" t="str">
        <x:f>IF(D708="","",MIN(1,I708/Configuracion!$B$11))</x:f>
      </x:c>
      <x:c r="K708" s="48" t="str">
        <x:f>IF(D708="","",MAX(0,(Configuracion!$B$11-I708)/G708))</x:f>
      </x:c>
      <x:c r="L708" s="73" t="str">
        <x:f>IF(D708="","",C708+K708*60)</x:f>
      </x:c>
      <x:c r="M708" t="str">
        <x:f>IF(D708="","",IF(J708&gt;=Configuracion!$B$13,"DESLIZAR",IF(J708&gt;=Configuracion!$B$12,"PREPARARSE","NO DESLIZAR")))</x:f>
      </x:c>
      <x:c r="N708" s="41" t="str">
        <x:f>IF(D708="","",D708-$D$8)</x:f>
      </x:c>
      <x:c r="O708" s="46" t="str">
        <x:f>IF(D708="","",MAX(0,MIN(1,N708/Configuracion!$B$10)))</x:f>
      </x:c>
    </x:row>
    <x:row r="709">
      <x:c r="A709" s="34"/>
      <x:c r="B709" s="36"/>
      <x:c r="C709" s="72"/>
      <x:c r="D709" s="71"/>
      <x:c r="E709" s="41" t="str">
        <x:f>IF(D709="","",D709+273.15)</x:f>
      </x:c>
      <x:c r="F709" s="44" t="str">
        <x:f>IF(OR(C709="",D709="",C708=""),"",(C709-C708)/60)</x:f>
      </x:c>
      <x:c r="G709" s="44" t="str">
        <x:f>IF(D709="","",EXP(-Configuracion!$B$4/Configuracion!$B$5*(1/AVERAGE(E708:E709)-1/(Configuracion!$B$3+273.15))))</x:f>
      </x:c>
      <x:c r="H709" s="44" t="str">
        <x:f>IF(D709="","",F709*G709)</x:f>
      </x:c>
      <x:c r="I709" s="44" t="str">
        <x:f>IF(D709="","",I708+H709)</x:f>
      </x:c>
      <x:c r="J709" s="46" t="str">
        <x:f>IF(D709="","",MIN(1,I709/Configuracion!$B$11))</x:f>
      </x:c>
      <x:c r="K709" s="48" t="str">
        <x:f>IF(D709="","",MAX(0,(Configuracion!$B$11-I709)/G709))</x:f>
      </x:c>
      <x:c r="L709" s="73" t="str">
        <x:f>IF(D709="","",C709+K709*60)</x:f>
      </x:c>
      <x:c r="M709" t="str">
        <x:f>IF(D709="","",IF(J709&gt;=Configuracion!$B$13,"DESLIZAR",IF(J709&gt;=Configuracion!$B$12,"PREPARARSE","NO DESLIZAR")))</x:f>
      </x:c>
      <x:c r="N709" s="41" t="str">
        <x:f>IF(D709="","",D709-$D$8)</x:f>
      </x:c>
      <x:c r="O709" s="46" t="str">
        <x:f>IF(D709="","",MAX(0,MIN(1,N709/Configuracion!$B$10)))</x:f>
      </x:c>
    </x:row>
    <x:row r="710">
      <x:c r="A710" s="34"/>
      <x:c r="B710" s="36"/>
      <x:c r="C710" s="72"/>
      <x:c r="D710" s="71"/>
      <x:c r="E710" s="41" t="str">
        <x:f>IF(D710="","",D710+273.15)</x:f>
      </x:c>
      <x:c r="F710" s="44" t="str">
        <x:f>IF(OR(C710="",D710="",C709=""),"",(C710-C709)/60)</x:f>
      </x:c>
      <x:c r="G710" s="44" t="str">
        <x:f>IF(D710="","",EXP(-Configuracion!$B$4/Configuracion!$B$5*(1/AVERAGE(E709:E710)-1/(Configuracion!$B$3+273.15))))</x:f>
      </x:c>
      <x:c r="H710" s="44" t="str">
        <x:f>IF(D710="","",F710*G710)</x:f>
      </x:c>
      <x:c r="I710" s="44" t="str">
        <x:f>IF(D710="","",I709+H710)</x:f>
      </x:c>
      <x:c r="J710" s="46" t="str">
        <x:f>IF(D710="","",MIN(1,I710/Configuracion!$B$11))</x:f>
      </x:c>
      <x:c r="K710" s="48" t="str">
        <x:f>IF(D710="","",MAX(0,(Configuracion!$B$11-I710)/G710))</x:f>
      </x:c>
      <x:c r="L710" s="73" t="str">
        <x:f>IF(D710="","",C710+K710*60)</x:f>
      </x:c>
      <x:c r="M710" t="str">
        <x:f>IF(D710="","",IF(J710&gt;=Configuracion!$B$13,"DESLIZAR",IF(J710&gt;=Configuracion!$B$12,"PREPARARSE","NO DESLIZAR")))</x:f>
      </x:c>
      <x:c r="N710" s="41" t="str">
        <x:f>IF(D710="","",D710-$D$8)</x:f>
      </x:c>
      <x:c r="O710" s="46" t="str">
        <x:f>IF(D710="","",MAX(0,MIN(1,N710/Configuracion!$B$10)))</x:f>
      </x:c>
    </x:row>
    <x:row r="711">
      <x:c r="A711" s="34"/>
      <x:c r="B711" s="36"/>
      <x:c r="C711" s="72"/>
      <x:c r="D711" s="71"/>
      <x:c r="E711" s="41" t="str">
        <x:f>IF(D711="","",D711+273.15)</x:f>
      </x:c>
      <x:c r="F711" s="44" t="str">
        <x:f>IF(OR(C711="",D711="",C710=""),"",(C711-C710)/60)</x:f>
      </x:c>
      <x:c r="G711" s="44" t="str">
        <x:f>IF(D711="","",EXP(-Configuracion!$B$4/Configuracion!$B$5*(1/AVERAGE(E710:E711)-1/(Configuracion!$B$3+273.15))))</x:f>
      </x:c>
      <x:c r="H711" s="44" t="str">
        <x:f>IF(D711="","",F711*G711)</x:f>
      </x:c>
      <x:c r="I711" s="44" t="str">
        <x:f>IF(D711="","",I710+H711)</x:f>
      </x:c>
      <x:c r="J711" s="46" t="str">
        <x:f>IF(D711="","",MIN(1,I711/Configuracion!$B$11))</x:f>
      </x:c>
      <x:c r="K711" s="48" t="str">
        <x:f>IF(D711="","",MAX(0,(Configuracion!$B$11-I711)/G711))</x:f>
      </x:c>
      <x:c r="L711" s="73" t="str">
        <x:f>IF(D711="","",C711+K711*60)</x:f>
      </x:c>
      <x:c r="M711" t="str">
        <x:f>IF(D711="","",IF(J711&gt;=Configuracion!$B$13,"DESLIZAR",IF(J711&gt;=Configuracion!$B$12,"PREPARARSE","NO DESLIZAR")))</x:f>
      </x:c>
      <x:c r="N711" s="41" t="str">
        <x:f>IF(D711="","",D711-$D$8)</x:f>
      </x:c>
      <x:c r="O711" s="46" t="str">
        <x:f>IF(D711="","",MAX(0,MIN(1,N711/Configuracion!$B$10)))</x:f>
      </x:c>
    </x:row>
    <x:row r="712">
      <x:c r="A712" s="34"/>
      <x:c r="B712" s="36"/>
      <x:c r="C712" s="72"/>
      <x:c r="D712" s="71"/>
      <x:c r="E712" s="41" t="str">
        <x:f>IF(D712="","",D712+273.15)</x:f>
      </x:c>
      <x:c r="F712" s="44" t="str">
        <x:f>IF(OR(C712="",D712="",C711=""),"",(C712-C711)/60)</x:f>
      </x:c>
      <x:c r="G712" s="44" t="str">
        <x:f>IF(D712="","",EXP(-Configuracion!$B$4/Configuracion!$B$5*(1/AVERAGE(E711:E712)-1/(Configuracion!$B$3+273.15))))</x:f>
      </x:c>
      <x:c r="H712" s="44" t="str">
        <x:f>IF(D712="","",F712*G712)</x:f>
      </x:c>
      <x:c r="I712" s="44" t="str">
        <x:f>IF(D712="","",I711+H712)</x:f>
      </x:c>
      <x:c r="J712" s="46" t="str">
        <x:f>IF(D712="","",MIN(1,I712/Configuracion!$B$11))</x:f>
      </x:c>
      <x:c r="K712" s="48" t="str">
        <x:f>IF(D712="","",MAX(0,(Configuracion!$B$11-I712)/G712))</x:f>
      </x:c>
      <x:c r="L712" s="73" t="str">
        <x:f>IF(D712="","",C712+K712*60)</x:f>
      </x:c>
      <x:c r="M712" t="str">
        <x:f>IF(D712="","",IF(J712&gt;=Configuracion!$B$13,"DESLIZAR",IF(J712&gt;=Configuracion!$B$12,"PREPARARSE","NO DESLIZAR")))</x:f>
      </x:c>
      <x:c r="N712" s="41" t="str">
        <x:f>IF(D712="","",D712-$D$8)</x:f>
      </x:c>
      <x:c r="O712" s="46" t="str">
        <x:f>IF(D712="","",MAX(0,MIN(1,N712/Configuracion!$B$10)))</x:f>
      </x:c>
    </x:row>
    <x:row r="713">
      <x:c r="A713" s="34"/>
      <x:c r="B713" s="36"/>
      <x:c r="C713" s="72"/>
      <x:c r="D713" s="71"/>
      <x:c r="E713" s="41" t="str">
        <x:f>IF(D713="","",D713+273.15)</x:f>
      </x:c>
      <x:c r="F713" s="44" t="str">
        <x:f>IF(OR(C713="",D713="",C712=""),"",(C713-C712)/60)</x:f>
      </x:c>
      <x:c r="G713" s="44" t="str">
        <x:f>IF(D713="","",EXP(-Configuracion!$B$4/Configuracion!$B$5*(1/AVERAGE(E712:E713)-1/(Configuracion!$B$3+273.15))))</x:f>
      </x:c>
      <x:c r="H713" s="44" t="str">
        <x:f>IF(D713="","",F713*G713)</x:f>
      </x:c>
      <x:c r="I713" s="44" t="str">
        <x:f>IF(D713="","",I712+H713)</x:f>
      </x:c>
      <x:c r="J713" s="46" t="str">
        <x:f>IF(D713="","",MIN(1,I713/Configuracion!$B$11))</x:f>
      </x:c>
      <x:c r="K713" s="48" t="str">
        <x:f>IF(D713="","",MAX(0,(Configuracion!$B$11-I713)/G713))</x:f>
      </x:c>
      <x:c r="L713" s="73" t="str">
        <x:f>IF(D713="","",C713+K713*60)</x:f>
      </x:c>
      <x:c r="M713" t="str">
        <x:f>IF(D713="","",IF(J713&gt;=Configuracion!$B$13,"DESLIZAR",IF(J713&gt;=Configuracion!$B$12,"PREPARARSE","NO DESLIZAR")))</x:f>
      </x:c>
      <x:c r="N713" s="41" t="str">
        <x:f>IF(D713="","",D713-$D$8)</x:f>
      </x:c>
      <x:c r="O713" s="46" t="str">
        <x:f>IF(D713="","",MAX(0,MIN(1,N713/Configuracion!$B$10)))</x:f>
      </x:c>
    </x:row>
    <x:row r="714">
      <x:c r="A714" s="34"/>
      <x:c r="B714" s="36"/>
      <x:c r="C714" s="72"/>
      <x:c r="D714" s="71"/>
      <x:c r="E714" s="41" t="str">
        <x:f>IF(D714="","",D714+273.15)</x:f>
      </x:c>
      <x:c r="F714" s="44" t="str">
        <x:f>IF(OR(C714="",D714="",C713=""),"",(C714-C713)/60)</x:f>
      </x:c>
      <x:c r="G714" s="44" t="str">
        <x:f>IF(D714="","",EXP(-Configuracion!$B$4/Configuracion!$B$5*(1/AVERAGE(E713:E714)-1/(Configuracion!$B$3+273.15))))</x:f>
      </x:c>
      <x:c r="H714" s="44" t="str">
        <x:f>IF(D714="","",F714*G714)</x:f>
      </x:c>
      <x:c r="I714" s="44" t="str">
        <x:f>IF(D714="","",I713+H714)</x:f>
      </x:c>
      <x:c r="J714" s="46" t="str">
        <x:f>IF(D714="","",MIN(1,I714/Configuracion!$B$11))</x:f>
      </x:c>
      <x:c r="K714" s="48" t="str">
        <x:f>IF(D714="","",MAX(0,(Configuracion!$B$11-I714)/G714))</x:f>
      </x:c>
      <x:c r="L714" s="73" t="str">
        <x:f>IF(D714="","",C714+K714*60)</x:f>
      </x:c>
      <x:c r="M714" t="str">
        <x:f>IF(D714="","",IF(J714&gt;=Configuracion!$B$13,"DESLIZAR",IF(J714&gt;=Configuracion!$B$12,"PREPARARSE","NO DESLIZAR")))</x:f>
      </x:c>
      <x:c r="N714" s="41" t="str">
        <x:f>IF(D714="","",D714-$D$8)</x:f>
      </x:c>
      <x:c r="O714" s="46" t="str">
        <x:f>IF(D714="","",MAX(0,MIN(1,N714/Configuracion!$B$10)))</x:f>
      </x:c>
    </x:row>
    <x:row r="715">
      <x:c r="A715" s="34"/>
      <x:c r="B715" s="36"/>
      <x:c r="C715" s="72"/>
      <x:c r="D715" s="71"/>
      <x:c r="E715" s="41" t="str">
        <x:f>IF(D715="","",D715+273.15)</x:f>
      </x:c>
      <x:c r="F715" s="44" t="str">
        <x:f>IF(OR(C715="",D715="",C714=""),"",(C715-C714)/60)</x:f>
      </x:c>
      <x:c r="G715" s="44" t="str">
        <x:f>IF(D715="","",EXP(-Configuracion!$B$4/Configuracion!$B$5*(1/AVERAGE(E714:E715)-1/(Configuracion!$B$3+273.15))))</x:f>
      </x:c>
      <x:c r="H715" s="44" t="str">
        <x:f>IF(D715="","",F715*G715)</x:f>
      </x:c>
      <x:c r="I715" s="44" t="str">
        <x:f>IF(D715="","",I714+H715)</x:f>
      </x:c>
      <x:c r="J715" s="46" t="str">
        <x:f>IF(D715="","",MIN(1,I715/Configuracion!$B$11))</x:f>
      </x:c>
      <x:c r="K715" s="48" t="str">
        <x:f>IF(D715="","",MAX(0,(Configuracion!$B$11-I715)/G715))</x:f>
      </x:c>
      <x:c r="L715" s="73" t="str">
        <x:f>IF(D715="","",C715+K715*60)</x:f>
      </x:c>
      <x:c r="M715" t="str">
        <x:f>IF(D715="","",IF(J715&gt;=Configuracion!$B$13,"DESLIZAR",IF(J715&gt;=Configuracion!$B$12,"PREPARARSE","NO DESLIZAR")))</x:f>
      </x:c>
      <x:c r="N715" s="41" t="str">
        <x:f>IF(D715="","",D715-$D$8)</x:f>
      </x:c>
      <x:c r="O715" s="46" t="str">
        <x:f>IF(D715="","",MAX(0,MIN(1,N715/Configuracion!$B$10)))</x:f>
      </x:c>
    </x:row>
    <x:row r="716">
      <x:c r="A716" s="34"/>
      <x:c r="B716" s="36"/>
      <x:c r="C716" s="72"/>
      <x:c r="D716" s="71"/>
      <x:c r="E716" s="41" t="str">
        <x:f>IF(D716="","",D716+273.15)</x:f>
      </x:c>
      <x:c r="F716" s="44" t="str">
        <x:f>IF(OR(C716="",D716="",C715=""),"",(C716-C715)/60)</x:f>
      </x:c>
      <x:c r="G716" s="44" t="str">
        <x:f>IF(D716="","",EXP(-Configuracion!$B$4/Configuracion!$B$5*(1/AVERAGE(E715:E716)-1/(Configuracion!$B$3+273.15))))</x:f>
      </x:c>
      <x:c r="H716" s="44" t="str">
        <x:f>IF(D716="","",F716*G716)</x:f>
      </x:c>
      <x:c r="I716" s="44" t="str">
        <x:f>IF(D716="","",I715+H716)</x:f>
      </x:c>
      <x:c r="J716" s="46" t="str">
        <x:f>IF(D716="","",MIN(1,I716/Configuracion!$B$11))</x:f>
      </x:c>
      <x:c r="K716" s="48" t="str">
        <x:f>IF(D716="","",MAX(0,(Configuracion!$B$11-I716)/G716))</x:f>
      </x:c>
      <x:c r="L716" s="73" t="str">
        <x:f>IF(D716="","",C716+K716*60)</x:f>
      </x:c>
      <x:c r="M716" t="str">
        <x:f>IF(D716="","",IF(J716&gt;=Configuracion!$B$13,"DESLIZAR",IF(J716&gt;=Configuracion!$B$12,"PREPARARSE","NO DESLIZAR")))</x:f>
      </x:c>
      <x:c r="N716" s="41" t="str">
        <x:f>IF(D716="","",D716-$D$8)</x:f>
      </x:c>
      <x:c r="O716" s="46" t="str">
        <x:f>IF(D716="","",MAX(0,MIN(1,N716/Configuracion!$B$10)))</x:f>
      </x:c>
    </x:row>
    <x:row r="717">
      <x:c r="A717" s="34"/>
      <x:c r="B717" s="36"/>
      <x:c r="C717" s="72"/>
      <x:c r="D717" s="71"/>
      <x:c r="E717" s="41" t="str">
        <x:f>IF(D717="","",D717+273.15)</x:f>
      </x:c>
      <x:c r="F717" s="44" t="str">
        <x:f>IF(OR(C717="",D717="",C716=""),"",(C717-C716)/60)</x:f>
      </x:c>
      <x:c r="G717" s="44" t="str">
        <x:f>IF(D717="","",EXP(-Configuracion!$B$4/Configuracion!$B$5*(1/AVERAGE(E716:E717)-1/(Configuracion!$B$3+273.15))))</x:f>
      </x:c>
      <x:c r="H717" s="44" t="str">
        <x:f>IF(D717="","",F717*G717)</x:f>
      </x:c>
      <x:c r="I717" s="44" t="str">
        <x:f>IF(D717="","",I716+H717)</x:f>
      </x:c>
      <x:c r="J717" s="46" t="str">
        <x:f>IF(D717="","",MIN(1,I717/Configuracion!$B$11))</x:f>
      </x:c>
      <x:c r="K717" s="48" t="str">
        <x:f>IF(D717="","",MAX(0,(Configuracion!$B$11-I717)/G717))</x:f>
      </x:c>
      <x:c r="L717" s="73" t="str">
        <x:f>IF(D717="","",C717+K717*60)</x:f>
      </x:c>
      <x:c r="M717" t="str">
        <x:f>IF(D717="","",IF(J717&gt;=Configuracion!$B$13,"DESLIZAR",IF(J717&gt;=Configuracion!$B$12,"PREPARARSE","NO DESLIZAR")))</x:f>
      </x:c>
      <x:c r="N717" s="41" t="str">
        <x:f>IF(D717="","",D717-$D$8)</x:f>
      </x:c>
      <x:c r="O717" s="46" t="str">
        <x:f>IF(D717="","",MAX(0,MIN(1,N717/Configuracion!$B$10)))</x:f>
      </x:c>
    </x:row>
    <x:row r="718">
      <x:c r="A718" s="34"/>
      <x:c r="B718" s="36"/>
      <x:c r="C718" s="72"/>
      <x:c r="D718" s="71"/>
      <x:c r="E718" s="41" t="str">
        <x:f>IF(D718="","",D718+273.15)</x:f>
      </x:c>
      <x:c r="F718" s="44" t="str">
        <x:f>IF(OR(C718="",D718="",C717=""),"",(C718-C717)/60)</x:f>
      </x:c>
      <x:c r="G718" s="44" t="str">
        <x:f>IF(D718="","",EXP(-Configuracion!$B$4/Configuracion!$B$5*(1/AVERAGE(E717:E718)-1/(Configuracion!$B$3+273.15))))</x:f>
      </x:c>
      <x:c r="H718" s="44" t="str">
        <x:f>IF(D718="","",F718*G718)</x:f>
      </x:c>
      <x:c r="I718" s="44" t="str">
        <x:f>IF(D718="","",I717+H718)</x:f>
      </x:c>
      <x:c r="J718" s="46" t="str">
        <x:f>IF(D718="","",MIN(1,I718/Configuracion!$B$11))</x:f>
      </x:c>
      <x:c r="K718" s="48" t="str">
        <x:f>IF(D718="","",MAX(0,(Configuracion!$B$11-I718)/G718))</x:f>
      </x:c>
      <x:c r="L718" s="73" t="str">
        <x:f>IF(D718="","",C718+K718*60)</x:f>
      </x:c>
      <x:c r="M718" t="str">
        <x:f>IF(D718="","",IF(J718&gt;=Configuracion!$B$13,"DESLIZAR",IF(J718&gt;=Configuracion!$B$12,"PREPARARSE","NO DESLIZAR")))</x:f>
      </x:c>
      <x:c r="N718" s="41" t="str">
        <x:f>IF(D718="","",D718-$D$8)</x:f>
      </x:c>
      <x:c r="O718" s="46" t="str">
        <x:f>IF(D718="","",MAX(0,MIN(1,N718/Configuracion!$B$10)))</x:f>
      </x:c>
    </x:row>
    <x:row r="719">
      <x:c r="A719" s="34"/>
      <x:c r="B719" s="36"/>
      <x:c r="C719" s="72"/>
      <x:c r="D719" s="71"/>
      <x:c r="E719" s="41" t="str">
        <x:f>IF(D719="","",D719+273.15)</x:f>
      </x:c>
      <x:c r="F719" s="44" t="str">
        <x:f>IF(OR(C719="",D719="",C718=""),"",(C719-C718)/60)</x:f>
      </x:c>
      <x:c r="G719" s="44" t="str">
        <x:f>IF(D719="","",EXP(-Configuracion!$B$4/Configuracion!$B$5*(1/AVERAGE(E718:E719)-1/(Configuracion!$B$3+273.15))))</x:f>
      </x:c>
      <x:c r="H719" s="44" t="str">
        <x:f>IF(D719="","",F719*G719)</x:f>
      </x:c>
      <x:c r="I719" s="44" t="str">
        <x:f>IF(D719="","",I718+H719)</x:f>
      </x:c>
      <x:c r="J719" s="46" t="str">
        <x:f>IF(D719="","",MIN(1,I719/Configuracion!$B$11))</x:f>
      </x:c>
      <x:c r="K719" s="48" t="str">
        <x:f>IF(D719="","",MAX(0,(Configuracion!$B$11-I719)/G719))</x:f>
      </x:c>
      <x:c r="L719" s="73" t="str">
        <x:f>IF(D719="","",C719+K719*60)</x:f>
      </x:c>
      <x:c r="M719" t="str">
        <x:f>IF(D719="","",IF(J719&gt;=Configuracion!$B$13,"DESLIZAR",IF(J719&gt;=Configuracion!$B$12,"PREPARARSE","NO DESLIZAR")))</x:f>
      </x:c>
      <x:c r="N719" s="41" t="str">
        <x:f>IF(D719="","",D719-$D$8)</x:f>
      </x:c>
      <x:c r="O719" s="46" t="str">
        <x:f>IF(D719="","",MAX(0,MIN(1,N719/Configuracion!$B$10)))</x:f>
      </x:c>
    </x:row>
    <x:row r="720">
      <x:c r="A720" s="34"/>
      <x:c r="B720" s="36"/>
      <x:c r="C720" s="72"/>
      <x:c r="D720" s="71"/>
      <x:c r="E720" s="41" t="str">
        <x:f>IF(D720="","",D720+273.15)</x:f>
      </x:c>
      <x:c r="F720" s="44" t="str">
        <x:f>IF(OR(C720="",D720="",C719=""),"",(C720-C719)/60)</x:f>
      </x:c>
      <x:c r="G720" s="44" t="str">
        <x:f>IF(D720="","",EXP(-Configuracion!$B$4/Configuracion!$B$5*(1/AVERAGE(E719:E720)-1/(Configuracion!$B$3+273.15))))</x:f>
      </x:c>
      <x:c r="H720" s="44" t="str">
        <x:f>IF(D720="","",F720*G720)</x:f>
      </x:c>
      <x:c r="I720" s="44" t="str">
        <x:f>IF(D720="","",I719+H720)</x:f>
      </x:c>
      <x:c r="J720" s="46" t="str">
        <x:f>IF(D720="","",MIN(1,I720/Configuracion!$B$11))</x:f>
      </x:c>
      <x:c r="K720" s="48" t="str">
        <x:f>IF(D720="","",MAX(0,(Configuracion!$B$11-I720)/G720))</x:f>
      </x:c>
      <x:c r="L720" s="73" t="str">
        <x:f>IF(D720="","",C720+K720*60)</x:f>
      </x:c>
      <x:c r="M720" t="str">
        <x:f>IF(D720="","",IF(J720&gt;=Configuracion!$B$13,"DESLIZAR",IF(J720&gt;=Configuracion!$B$12,"PREPARARSE","NO DESLIZAR")))</x:f>
      </x:c>
      <x:c r="N720" s="41" t="str">
        <x:f>IF(D720="","",D720-$D$8)</x:f>
      </x:c>
      <x:c r="O720" s="46" t="str">
        <x:f>IF(D720="","",MAX(0,MIN(1,N720/Configuracion!$B$10)))</x:f>
      </x:c>
    </x:row>
    <x:row r="721">
      <x:c r="A721" s="34"/>
      <x:c r="B721" s="36"/>
      <x:c r="C721" s="72"/>
      <x:c r="D721" s="71"/>
      <x:c r="E721" s="41" t="str">
        <x:f>IF(D721="","",D721+273.15)</x:f>
      </x:c>
      <x:c r="F721" s="44" t="str">
        <x:f>IF(OR(C721="",D721="",C720=""),"",(C721-C720)/60)</x:f>
      </x:c>
      <x:c r="G721" s="44" t="str">
        <x:f>IF(D721="","",EXP(-Configuracion!$B$4/Configuracion!$B$5*(1/AVERAGE(E720:E721)-1/(Configuracion!$B$3+273.15))))</x:f>
      </x:c>
      <x:c r="H721" s="44" t="str">
        <x:f>IF(D721="","",F721*G721)</x:f>
      </x:c>
      <x:c r="I721" s="44" t="str">
        <x:f>IF(D721="","",I720+H721)</x:f>
      </x:c>
      <x:c r="J721" s="46" t="str">
        <x:f>IF(D721="","",MIN(1,I721/Configuracion!$B$11))</x:f>
      </x:c>
      <x:c r="K721" s="48" t="str">
        <x:f>IF(D721="","",MAX(0,(Configuracion!$B$11-I721)/G721))</x:f>
      </x:c>
      <x:c r="L721" s="73" t="str">
        <x:f>IF(D721="","",C721+K721*60)</x:f>
      </x:c>
      <x:c r="M721" t="str">
        <x:f>IF(D721="","",IF(J721&gt;=Configuracion!$B$13,"DESLIZAR",IF(J721&gt;=Configuracion!$B$12,"PREPARARSE","NO DESLIZAR")))</x:f>
      </x:c>
      <x:c r="N721" s="41" t="str">
        <x:f>IF(D721="","",D721-$D$8)</x:f>
      </x:c>
      <x:c r="O721" s="46" t="str">
        <x:f>IF(D721="","",MAX(0,MIN(1,N721/Configuracion!$B$10)))</x:f>
      </x:c>
    </x:row>
    <x:row r="722">
      <x:c r="A722" s="34"/>
      <x:c r="B722" s="36"/>
      <x:c r="C722" s="72"/>
      <x:c r="D722" s="71"/>
      <x:c r="E722" s="41" t="str">
        <x:f>IF(D722="","",D722+273.15)</x:f>
      </x:c>
      <x:c r="F722" s="44" t="str">
        <x:f>IF(OR(C722="",D722="",C721=""),"",(C722-C721)/60)</x:f>
      </x:c>
      <x:c r="G722" s="44" t="str">
        <x:f>IF(D722="","",EXP(-Configuracion!$B$4/Configuracion!$B$5*(1/AVERAGE(E721:E722)-1/(Configuracion!$B$3+273.15))))</x:f>
      </x:c>
      <x:c r="H722" s="44" t="str">
        <x:f>IF(D722="","",F722*G722)</x:f>
      </x:c>
      <x:c r="I722" s="44" t="str">
        <x:f>IF(D722="","",I721+H722)</x:f>
      </x:c>
      <x:c r="J722" s="46" t="str">
        <x:f>IF(D722="","",MIN(1,I722/Configuracion!$B$11))</x:f>
      </x:c>
      <x:c r="K722" s="48" t="str">
        <x:f>IF(D722="","",MAX(0,(Configuracion!$B$11-I722)/G722))</x:f>
      </x:c>
      <x:c r="L722" s="73" t="str">
        <x:f>IF(D722="","",C722+K722*60)</x:f>
      </x:c>
      <x:c r="M722" t="str">
        <x:f>IF(D722="","",IF(J722&gt;=Configuracion!$B$13,"DESLIZAR",IF(J722&gt;=Configuracion!$B$12,"PREPARARSE","NO DESLIZAR")))</x:f>
      </x:c>
      <x:c r="N722" s="41" t="str">
        <x:f>IF(D722="","",D722-$D$8)</x:f>
      </x:c>
      <x:c r="O722" s="46" t="str">
        <x:f>IF(D722="","",MAX(0,MIN(1,N722/Configuracion!$B$10)))</x:f>
      </x:c>
    </x:row>
    <x:row r="723">
      <x:c r="A723" s="34"/>
      <x:c r="B723" s="36"/>
      <x:c r="C723" s="72"/>
      <x:c r="D723" s="71"/>
      <x:c r="E723" s="41" t="str">
        <x:f>IF(D723="","",D723+273.15)</x:f>
      </x:c>
      <x:c r="F723" s="44" t="str">
        <x:f>IF(OR(C723="",D723="",C722=""),"",(C723-C722)/60)</x:f>
      </x:c>
      <x:c r="G723" s="44" t="str">
        <x:f>IF(D723="","",EXP(-Configuracion!$B$4/Configuracion!$B$5*(1/AVERAGE(E722:E723)-1/(Configuracion!$B$3+273.15))))</x:f>
      </x:c>
      <x:c r="H723" s="44" t="str">
        <x:f>IF(D723="","",F723*G723)</x:f>
      </x:c>
      <x:c r="I723" s="44" t="str">
        <x:f>IF(D723="","",I722+H723)</x:f>
      </x:c>
      <x:c r="J723" s="46" t="str">
        <x:f>IF(D723="","",MIN(1,I723/Configuracion!$B$11))</x:f>
      </x:c>
      <x:c r="K723" s="48" t="str">
        <x:f>IF(D723="","",MAX(0,(Configuracion!$B$11-I723)/G723))</x:f>
      </x:c>
      <x:c r="L723" s="73" t="str">
        <x:f>IF(D723="","",C723+K723*60)</x:f>
      </x:c>
      <x:c r="M723" t="str">
        <x:f>IF(D723="","",IF(J723&gt;=Configuracion!$B$13,"DESLIZAR",IF(J723&gt;=Configuracion!$B$12,"PREPARARSE","NO DESLIZAR")))</x:f>
      </x:c>
      <x:c r="N723" s="41" t="str">
        <x:f>IF(D723="","",D723-$D$8)</x:f>
      </x:c>
      <x:c r="O723" s="46" t="str">
        <x:f>IF(D723="","",MAX(0,MIN(1,N723/Configuracion!$B$10)))</x:f>
      </x:c>
    </x:row>
    <x:row r="724">
      <x:c r="A724" s="34"/>
      <x:c r="B724" s="36"/>
      <x:c r="C724" s="72"/>
      <x:c r="D724" s="71"/>
      <x:c r="E724" s="41" t="str">
        <x:f>IF(D724="","",D724+273.15)</x:f>
      </x:c>
      <x:c r="F724" s="44" t="str">
        <x:f>IF(OR(C724="",D724="",C723=""),"",(C724-C723)/60)</x:f>
      </x:c>
      <x:c r="G724" s="44" t="str">
        <x:f>IF(D724="","",EXP(-Configuracion!$B$4/Configuracion!$B$5*(1/AVERAGE(E723:E724)-1/(Configuracion!$B$3+273.15))))</x:f>
      </x:c>
      <x:c r="H724" s="44" t="str">
        <x:f>IF(D724="","",F724*G724)</x:f>
      </x:c>
      <x:c r="I724" s="44" t="str">
        <x:f>IF(D724="","",I723+H724)</x:f>
      </x:c>
      <x:c r="J724" s="46" t="str">
        <x:f>IF(D724="","",MIN(1,I724/Configuracion!$B$11))</x:f>
      </x:c>
      <x:c r="K724" s="48" t="str">
        <x:f>IF(D724="","",MAX(0,(Configuracion!$B$11-I724)/G724))</x:f>
      </x:c>
      <x:c r="L724" s="73" t="str">
        <x:f>IF(D724="","",C724+K724*60)</x:f>
      </x:c>
      <x:c r="M724" t="str">
        <x:f>IF(D724="","",IF(J724&gt;=Configuracion!$B$13,"DESLIZAR",IF(J724&gt;=Configuracion!$B$12,"PREPARARSE","NO DESLIZAR")))</x:f>
      </x:c>
      <x:c r="N724" s="41" t="str">
        <x:f>IF(D724="","",D724-$D$8)</x:f>
      </x:c>
      <x:c r="O724" s="46" t="str">
        <x:f>IF(D724="","",MAX(0,MIN(1,N724/Configuracion!$B$10)))</x:f>
      </x:c>
    </x:row>
    <x:row r="725">
      <x:c r="A725" s="34"/>
      <x:c r="B725" s="36"/>
      <x:c r="C725" s="72"/>
      <x:c r="D725" s="71"/>
      <x:c r="E725" s="41" t="str">
        <x:f>IF(D725="","",D725+273.15)</x:f>
      </x:c>
      <x:c r="F725" s="44" t="str">
        <x:f>IF(OR(C725="",D725="",C724=""),"",(C725-C724)/60)</x:f>
      </x:c>
      <x:c r="G725" s="44" t="str">
        <x:f>IF(D725="","",EXP(-Configuracion!$B$4/Configuracion!$B$5*(1/AVERAGE(E724:E725)-1/(Configuracion!$B$3+273.15))))</x:f>
      </x:c>
      <x:c r="H725" s="44" t="str">
        <x:f>IF(D725="","",F725*G725)</x:f>
      </x:c>
      <x:c r="I725" s="44" t="str">
        <x:f>IF(D725="","",I724+H725)</x:f>
      </x:c>
      <x:c r="J725" s="46" t="str">
        <x:f>IF(D725="","",MIN(1,I725/Configuracion!$B$11))</x:f>
      </x:c>
      <x:c r="K725" s="48" t="str">
        <x:f>IF(D725="","",MAX(0,(Configuracion!$B$11-I725)/G725))</x:f>
      </x:c>
      <x:c r="L725" s="73" t="str">
        <x:f>IF(D725="","",C725+K725*60)</x:f>
      </x:c>
      <x:c r="M725" t="str">
        <x:f>IF(D725="","",IF(J725&gt;=Configuracion!$B$13,"DESLIZAR",IF(J725&gt;=Configuracion!$B$12,"PREPARARSE","NO DESLIZAR")))</x:f>
      </x:c>
      <x:c r="N725" s="41" t="str">
        <x:f>IF(D725="","",D725-$D$8)</x:f>
      </x:c>
      <x:c r="O725" s="46" t="str">
        <x:f>IF(D725="","",MAX(0,MIN(1,N725/Configuracion!$B$10)))</x:f>
      </x:c>
    </x:row>
    <x:row r="726">
      <x:c r="A726" s="34"/>
      <x:c r="B726" s="36"/>
      <x:c r="C726" s="72"/>
      <x:c r="D726" s="71"/>
      <x:c r="E726" s="41" t="str">
        <x:f>IF(D726="","",D726+273.15)</x:f>
      </x:c>
      <x:c r="F726" s="44" t="str">
        <x:f>IF(OR(C726="",D726="",C725=""),"",(C726-C725)/60)</x:f>
      </x:c>
      <x:c r="G726" s="44" t="str">
        <x:f>IF(D726="","",EXP(-Configuracion!$B$4/Configuracion!$B$5*(1/AVERAGE(E725:E726)-1/(Configuracion!$B$3+273.15))))</x:f>
      </x:c>
      <x:c r="H726" s="44" t="str">
        <x:f>IF(D726="","",F726*G726)</x:f>
      </x:c>
      <x:c r="I726" s="44" t="str">
        <x:f>IF(D726="","",I725+H726)</x:f>
      </x:c>
      <x:c r="J726" s="46" t="str">
        <x:f>IF(D726="","",MIN(1,I726/Configuracion!$B$11))</x:f>
      </x:c>
      <x:c r="K726" s="48" t="str">
        <x:f>IF(D726="","",MAX(0,(Configuracion!$B$11-I726)/G726))</x:f>
      </x:c>
      <x:c r="L726" s="73" t="str">
        <x:f>IF(D726="","",C726+K726*60)</x:f>
      </x:c>
      <x:c r="M726" t="str">
        <x:f>IF(D726="","",IF(J726&gt;=Configuracion!$B$13,"DESLIZAR",IF(J726&gt;=Configuracion!$B$12,"PREPARARSE","NO DESLIZAR")))</x:f>
      </x:c>
      <x:c r="N726" s="41" t="str">
        <x:f>IF(D726="","",D726-$D$8)</x:f>
      </x:c>
      <x:c r="O726" s="46" t="str">
        <x:f>IF(D726="","",MAX(0,MIN(1,N726/Configuracion!$B$10)))</x:f>
      </x:c>
    </x:row>
    <x:row r="727">
      <x:c r="A727" s="34"/>
      <x:c r="B727" s="36"/>
      <x:c r="C727" s="72"/>
      <x:c r="D727" s="71"/>
      <x:c r="E727" s="41" t="str">
        <x:f>IF(D727="","",D727+273.15)</x:f>
      </x:c>
      <x:c r="F727" s="44" t="str">
        <x:f>IF(OR(C727="",D727="",C726=""),"",(C727-C726)/60)</x:f>
      </x:c>
      <x:c r="G727" s="44" t="str">
        <x:f>IF(D727="","",EXP(-Configuracion!$B$4/Configuracion!$B$5*(1/AVERAGE(E726:E727)-1/(Configuracion!$B$3+273.15))))</x:f>
      </x:c>
      <x:c r="H727" s="44" t="str">
        <x:f>IF(D727="","",F727*G727)</x:f>
      </x:c>
      <x:c r="I727" s="44" t="str">
        <x:f>IF(D727="","",I726+H727)</x:f>
      </x:c>
      <x:c r="J727" s="46" t="str">
        <x:f>IF(D727="","",MIN(1,I727/Configuracion!$B$11))</x:f>
      </x:c>
      <x:c r="K727" s="48" t="str">
        <x:f>IF(D727="","",MAX(0,(Configuracion!$B$11-I727)/G727))</x:f>
      </x:c>
      <x:c r="L727" s="73" t="str">
        <x:f>IF(D727="","",C727+K727*60)</x:f>
      </x:c>
      <x:c r="M727" t="str">
        <x:f>IF(D727="","",IF(J727&gt;=Configuracion!$B$13,"DESLIZAR",IF(J727&gt;=Configuracion!$B$12,"PREPARARSE","NO DESLIZAR")))</x:f>
      </x:c>
      <x:c r="N727" s="41" t="str">
        <x:f>IF(D727="","",D727-$D$8)</x:f>
      </x:c>
      <x:c r="O727" s="46" t="str">
        <x:f>IF(D727="","",MAX(0,MIN(1,N727/Configuracion!$B$10)))</x:f>
      </x:c>
    </x:row>
    <x:row r="728">
      <x:c r="A728" s="34"/>
      <x:c r="B728" s="36"/>
      <x:c r="C728" s="72"/>
      <x:c r="D728" s="71"/>
      <x:c r="E728" s="41" t="str">
        <x:f>IF(D728="","",D728+273.15)</x:f>
      </x:c>
      <x:c r="F728" s="44" t="str">
        <x:f>IF(OR(C728="",D728="",C727=""),"",(C728-C727)/60)</x:f>
      </x:c>
      <x:c r="G728" s="44" t="str">
        <x:f>IF(D728="","",EXP(-Configuracion!$B$4/Configuracion!$B$5*(1/AVERAGE(E727:E728)-1/(Configuracion!$B$3+273.15))))</x:f>
      </x:c>
      <x:c r="H728" s="44" t="str">
        <x:f>IF(D728="","",F728*G728)</x:f>
      </x:c>
      <x:c r="I728" s="44" t="str">
        <x:f>IF(D728="","",I727+H728)</x:f>
      </x:c>
      <x:c r="J728" s="46" t="str">
        <x:f>IF(D728="","",MIN(1,I728/Configuracion!$B$11))</x:f>
      </x:c>
      <x:c r="K728" s="48" t="str">
        <x:f>IF(D728="","",MAX(0,(Configuracion!$B$11-I728)/G728))</x:f>
      </x:c>
      <x:c r="L728" s="73" t="str">
        <x:f>IF(D728="","",C728+K728*60)</x:f>
      </x:c>
      <x:c r="M728" t="str">
        <x:f>IF(D728="","",IF(J728&gt;=Configuracion!$B$13,"DESLIZAR",IF(J728&gt;=Configuracion!$B$12,"PREPARARSE","NO DESLIZAR")))</x:f>
      </x:c>
      <x:c r="N728" s="41" t="str">
        <x:f>IF(D728="","",D728-$D$8)</x:f>
      </x:c>
      <x:c r="O728" s="46" t="str">
        <x:f>IF(D728="","",MAX(0,MIN(1,N728/Configuracion!$B$10)))</x:f>
      </x:c>
    </x:row>
    <x:row r="729">
      <x:c r="A729" s="34"/>
      <x:c r="B729" s="36"/>
      <x:c r="C729" s="72"/>
      <x:c r="D729" s="71"/>
      <x:c r="E729" s="41" t="str">
        <x:f>IF(D729="","",D729+273.15)</x:f>
      </x:c>
      <x:c r="F729" s="44" t="str">
        <x:f>IF(OR(C729="",D729="",C728=""),"",(C729-C728)/60)</x:f>
      </x:c>
      <x:c r="G729" s="44" t="str">
        <x:f>IF(D729="","",EXP(-Configuracion!$B$4/Configuracion!$B$5*(1/AVERAGE(E728:E729)-1/(Configuracion!$B$3+273.15))))</x:f>
      </x:c>
      <x:c r="H729" s="44" t="str">
        <x:f>IF(D729="","",F729*G729)</x:f>
      </x:c>
      <x:c r="I729" s="44" t="str">
        <x:f>IF(D729="","",I728+H729)</x:f>
      </x:c>
      <x:c r="J729" s="46" t="str">
        <x:f>IF(D729="","",MIN(1,I729/Configuracion!$B$11))</x:f>
      </x:c>
      <x:c r="K729" s="48" t="str">
        <x:f>IF(D729="","",MAX(0,(Configuracion!$B$11-I729)/G729))</x:f>
      </x:c>
      <x:c r="L729" s="73" t="str">
        <x:f>IF(D729="","",C729+K729*60)</x:f>
      </x:c>
      <x:c r="M729" t="str">
        <x:f>IF(D729="","",IF(J729&gt;=Configuracion!$B$13,"DESLIZAR",IF(J729&gt;=Configuracion!$B$12,"PREPARARSE","NO DESLIZAR")))</x:f>
      </x:c>
      <x:c r="N729" s="41" t="str">
        <x:f>IF(D729="","",D729-$D$8)</x:f>
      </x:c>
      <x:c r="O729" s="46" t="str">
        <x:f>IF(D729="","",MAX(0,MIN(1,N729/Configuracion!$B$10)))</x:f>
      </x:c>
    </x:row>
    <x:row r="730">
      <x:c r="A730" s="34"/>
      <x:c r="B730" s="36"/>
      <x:c r="C730" s="72"/>
      <x:c r="D730" s="71"/>
      <x:c r="E730" s="41" t="str">
        <x:f>IF(D730="","",D730+273.15)</x:f>
      </x:c>
      <x:c r="F730" s="44" t="str">
        <x:f>IF(OR(C730="",D730="",C729=""),"",(C730-C729)/60)</x:f>
      </x:c>
      <x:c r="G730" s="44" t="str">
        <x:f>IF(D730="","",EXP(-Configuracion!$B$4/Configuracion!$B$5*(1/AVERAGE(E729:E730)-1/(Configuracion!$B$3+273.15))))</x:f>
      </x:c>
      <x:c r="H730" s="44" t="str">
        <x:f>IF(D730="","",F730*G730)</x:f>
      </x:c>
      <x:c r="I730" s="44" t="str">
        <x:f>IF(D730="","",I729+H730)</x:f>
      </x:c>
      <x:c r="J730" s="46" t="str">
        <x:f>IF(D730="","",MIN(1,I730/Configuracion!$B$11))</x:f>
      </x:c>
      <x:c r="K730" s="48" t="str">
        <x:f>IF(D730="","",MAX(0,(Configuracion!$B$11-I730)/G730))</x:f>
      </x:c>
      <x:c r="L730" s="73" t="str">
        <x:f>IF(D730="","",C730+K730*60)</x:f>
      </x:c>
      <x:c r="M730" t="str">
        <x:f>IF(D730="","",IF(J730&gt;=Configuracion!$B$13,"DESLIZAR",IF(J730&gt;=Configuracion!$B$12,"PREPARARSE","NO DESLIZAR")))</x:f>
      </x:c>
      <x:c r="N730" s="41" t="str">
        <x:f>IF(D730="","",D730-$D$8)</x:f>
      </x:c>
      <x:c r="O730" s="46" t="str">
        <x:f>IF(D730="","",MAX(0,MIN(1,N730/Configuracion!$B$10)))</x:f>
      </x:c>
    </x:row>
    <x:row r="731">
      <x:c r="A731" s="34"/>
      <x:c r="B731" s="36"/>
      <x:c r="C731" s="72"/>
      <x:c r="D731" s="71"/>
      <x:c r="E731" s="41" t="str">
        <x:f>IF(D731="","",D731+273.15)</x:f>
      </x:c>
      <x:c r="F731" s="44" t="str">
        <x:f>IF(OR(C731="",D731="",C730=""),"",(C731-C730)/60)</x:f>
      </x:c>
      <x:c r="G731" s="44" t="str">
        <x:f>IF(D731="","",EXP(-Configuracion!$B$4/Configuracion!$B$5*(1/AVERAGE(E730:E731)-1/(Configuracion!$B$3+273.15))))</x:f>
      </x:c>
      <x:c r="H731" s="44" t="str">
        <x:f>IF(D731="","",F731*G731)</x:f>
      </x:c>
      <x:c r="I731" s="44" t="str">
        <x:f>IF(D731="","",I730+H731)</x:f>
      </x:c>
      <x:c r="J731" s="46" t="str">
        <x:f>IF(D731="","",MIN(1,I731/Configuracion!$B$11))</x:f>
      </x:c>
      <x:c r="K731" s="48" t="str">
        <x:f>IF(D731="","",MAX(0,(Configuracion!$B$11-I731)/G731))</x:f>
      </x:c>
      <x:c r="L731" s="73" t="str">
        <x:f>IF(D731="","",C731+K731*60)</x:f>
      </x:c>
      <x:c r="M731" t="str">
        <x:f>IF(D731="","",IF(J731&gt;=Configuracion!$B$13,"DESLIZAR",IF(J731&gt;=Configuracion!$B$12,"PREPARARSE","NO DESLIZAR")))</x:f>
      </x:c>
      <x:c r="N731" s="41" t="str">
        <x:f>IF(D731="","",D731-$D$8)</x:f>
      </x:c>
      <x:c r="O731" s="46" t="str">
        <x:f>IF(D731="","",MAX(0,MIN(1,N731/Configuracion!$B$10)))</x:f>
      </x:c>
    </x:row>
    <x:row r="732">
      <x:c r="A732" s="34"/>
      <x:c r="B732" s="36"/>
      <x:c r="C732" s="72"/>
      <x:c r="D732" s="71"/>
      <x:c r="E732" s="41" t="str">
        <x:f>IF(D732="","",D732+273.15)</x:f>
      </x:c>
      <x:c r="F732" s="44" t="str">
        <x:f>IF(OR(C732="",D732="",C731=""),"",(C732-C731)/60)</x:f>
      </x:c>
      <x:c r="G732" s="44" t="str">
        <x:f>IF(D732="","",EXP(-Configuracion!$B$4/Configuracion!$B$5*(1/AVERAGE(E731:E732)-1/(Configuracion!$B$3+273.15))))</x:f>
      </x:c>
      <x:c r="H732" s="44" t="str">
        <x:f>IF(D732="","",F732*G732)</x:f>
      </x:c>
      <x:c r="I732" s="44" t="str">
        <x:f>IF(D732="","",I731+H732)</x:f>
      </x:c>
      <x:c r="J732" s="46" t="str">
        <x:f>IF(D732="","",MIN(1,I732/Configuracion!$B$11))</x:f>
      </x:c>
      <x:c r="K732" s="48" t="str">
        <x:f>IF(D732="","",MAX(0,(Configuracion!$B$11-I732)/G732))</x:f>
      </x:c>
      <x:c r="L732" s="73" t="str">
        <x:f>IF(D732="","",C732+K732*60)</x:f>
      </x:c>
      <x:c r="M732" t="str">
        <x:f>IF(D732="","",IF(J732&gt;=Configuracion!$B$13,"DESLIZAR",IF(J732&gt;=Configuracion!$B$12,"PREPARARSE","NO DESLIZAR")))</x:f>
      </x:c>
      <x:c r="N732" s="41" t="str">
        <x:f>IF(D732="","",D732-$D$8)</x:f>
      </x:c>
      <x:c r="O732" s="46" t="str">
        <x:f>IF(D732="","",MAX(0,MIN(1,N732/Configuracion!$B$10)))</x:f>
      </x:c>
    </x:row>
    <x:row r="733">
      <x:c r="A733" s="34"/>
      <x:c r="B733" s="36"/>
      <x:c r="C733" s="72"/>
      <x:c r="D733" s="71"/>
      <x:c r="E733" s="41" t="str">
        <x:f>IF(D733="","",D733+273.15)</x:f>
      </x:c>
      <x:c r="F733" s="44" t="str">
        <x:f>IF(OR(C733="",D733="",C732=""),"",(C733-C732)/60)</x:f>
      </x:c>
      <x:c r="G733" s="44" t="str">
        <x:f>IF(D733="","",EXP(-Configuracion!$B$4/Configuracion!$B$5*(1/AVERAGE(E732:E733)-1/(Configuracion!$B$3+273.15))))</x:f>
      </x:c>
      <x:c r="H733" s="44" t="str">
        <x:f>IF(D733="","",F733*G733)</x:f>
      </x:c>
      <x:c r="I733" s="44" t="str">
        <x:f>IF(D733="","",I732+H733)</x:f>
      </x:c>
      <x:c r="J733" s="46" t="str">
        <x:f>IF(D733="","",MIN(1,I733/Configuracion!$B$11))</x:f>
      </x:c>
      <x:c r="K733" s="48" t="str">
        <x:f>IF(D733="","",MAX(0,(Configuracion!$B$11-I733)/G733))</x:f>
      </x:c>
      <x:c r="L733" s="73" t="str">
        <x:f>IF(D733="","",C733+K733*60)</x:f>
      </x:c>
      <x:c r="M733" t="str">
        <x:f>IF(D733="","",IF(J733&gt;=Configuracion!$B$13,"DESLIZAR",IF(J733&gt;=Configuracion!$B$12,"PREPARARSE","NO DESLIZAR")))</x:f>
      </x:c>
      <x:c r="N733" s="41" t="str">
        <x:f>IF(D733="","",D733-$D$8)</x:f>
      </x:c>
      <x:c r="O733" s="46" t="str">
        <x:f>IF(D733="","",MAX(0,MIN(1,N733/Configuracion!$B$10)))</x:f>
      </x:c>
    </x:row>
    <x:row r="734">
      <x:c r="A734" s="34"/>
      <x:c r="B734" s="36"/>
      <x:c r="C734" s="72"/>
      <x:c r="D734" s="71"/>
      <x:c r="E734" s="41" t="str">
        <x:f>IF(D734="","",D734+273.15)</x:f>
      </x:c>
      <x:c r="F734" s="44" t="str">
        <x:f>IF(OR(C734="",D734="",C733=""),"",(C734-C733)/60)</x:f>
      </x:c>
      <x:c r="G734" s="44" t="str">
        <x:f>IF(D734="","",EXP(-Configuracion!$B$4/Configuracion!$B$5*(1/AVERAGE(E733:E734)-1/(Configuracion!$B$3+273.15))))</x:f>
      </x:c>
      <x:c r="H734" s="44" t="str">
        <x:f>IF(D734="","",F734*G734)</x:f>
      </x:c>
      <x:c r="I734" s="44" t="str">
        <x:f>IF(D734="","",I733+H734)</x:f>
      </x:c>
      <x:c r="J734" s="46" t="str">
        <x:f>IF(D734="","",MIN(1,I734/Configuracion!$B$11))</x:f>
      </x:c>
      <x:c r="K734" s="48" t="str">
        <x:f>IF(D734="","",MAX(0,(Configuracion!$B$11-I734)/G734))</x:f>
      </x:c>
      <x:c r="L734" s="73" t="str">
        <x:f>IF(D734="","",C734+K734*60)</x:f>
      </x:c>
      <x:c r="M734" t="str">
        <x:f>IF(D734="","",IF(J734&gt;=Configuracion!$B$13,"DESLIZAR",IF(J734&gt;=Configuracion!$B$12,"PREPARARSE","NO DESLIZAR")))</x:f>
      </x:c>
      <x:c r="N734" s="41" t="str">
        <x:f>IF(D734="","",D734-$D$8)</x:f>
      </x:c>
      <x:c r="O734" s="46" t="str">
        <x:f>IF(D734="","",MAX(0,MIN(1,N734/Configuracion!$B$10)))</x:f>
      </x:c>
    </x:row>
    <x:row r="735">
      <x:c r="A735" s="34"/>
      <x:c r="B735" s="36"/>
      <x:c r="C735" s="72"/>
      <x:c r="D735" s="71"/>
      <x:c r="E735" s="41" t="str">
        <x:f>IF(D735="","",D735+273.15)</x:f>
      </x:c>
      <x:c r="F735" s="44" t="str">
        <x:f>IF(OR(C735="",D735="",C734=""),"",(C735-C734)/60)</x:f>
      </x:c>
      <x:c r="G735" s="44" t="str">
        <x:f>IF(D735="","",EXP(-Configuracion!$B$4/Configuracion!$B$5*(1/AVERAGE(E734:E735)-1/(Configuracion!$B$3+273.15))))</x:f>
      </x:c>
      <x:c r="H735" s="44" t="str">
        <x:f>IF(D735="","",F735*G735)</x:f>
      </x:c>
      <x:c r="I735" s="44" t="str">
        <x:f>IF(D735="","",I734+H735)</x:f>
      </x:c>
      <x:c r="J735" s="46" t="str">
        <x:f>IF(D735="","",MIN(1,I735/Configuracion!$B$11))</x:f>
      </x:c>
      <x:c r="K735" s="48" t="str">
        <x:f>IF(D735="","",MAX(0,(Configuracion!$B$11-I735)/G735))</x:f>
      </x:c>
      <x:c r="L735" s="73" t="str">
        <x:f>IF(D735="","",C735+K735*60)</x:f>
      </x:c>
      <x:c r="M735" t="str">
        <x:f>IF(D735="","",IF(J735&gt;=Configuracion!$B$13,"DESLIZAR",IF(J735&gt;=Configuracion!$B$12,"PREPARARSE","NO DESLIZAR")))</x:f>
      </x:c>
      <x:c r="N735" s="41" t="str">
        <x:f>IF(D735="","",D735-$D$8)</x:f>
      </x:c>
      <x:c r="O735" s="46" t="str">
        <x:f>IF(D735="","",MAX(0,MIN(1,N735/Configuracion!$B$10)))</x:f>
      </x:c>
    </x:row>
    <x:row r="736">
      <x:c r="A736" s="34"/>
      <x:c r="B736" s="36"/>
      <x:c r="C736" s="72"/>
      <x:c r="D736" s="71"/>
      <x:c r="E736" s="41" t="str">
        <x:f>IF(D736="","",D736+273.15)</x:f>
      </x:c>
      <x:c r="F736" s="44" t="str">
        <x:f>IF(OR(C736="",D736="",C735=""),"",(C736-C735)/60)</x:f>
      </x:c>
      <x:c r="G736" s="44" t="str">
        <x:f>IF(D736="","",EXP(-Configuracion!$B$4/Configuracion!$B$5*(1/AVERAGE(E735:E736)-1/(Configuracion!$B$3+273.15))))</x:f>
      </x:c>
      <x:c r="H736" s="44" t="str">
        <x:f>IF(D736="","",F736*G736)</x:f>
      </x:c>
      <x:c r="I736" s="44" t="str">
        <x:f>IF(D736="","",I735+H736)</x:f>
      </x:c>
      <x:c r="J736" s="46" t="str">
        <x:f>IF(D736="","",MIN(1,I736/Configuracion!$B$11))</x:f>
      </x:c>
      <x:c r="K736" s="48" t="str">
        <x:f>IF(D736="","",MAX(0,(Configuracion!$B$11-I736)/G736))</x:f>
      </x:c>
      <x:c r="L736" s="73" t="str">
        <x:f>IF(D736="","",C736+K736*60)</x:f>
      </x:c>
      <x:c r="M736" t="str">
        <x:f>IF(D736="","",IF(J736&gt;=Configuracion!$B$13,"DESLIZAR",IF(J736&gt;=Configuracion!$B$12,"PREPARARSE","NO DESLIZAR")))</x:f>
      </x:c>
      <x:c r="N736" s="41" t="str">
        <x:f>IF(D736="","",D736-$D$8)</x:f>
      </x:c>
      <x:c r="O736" s="46" t="str">
        <x:f>IF(D736="","",MAX(0,MIN(1,N736/Configuracion!$B$10)))</x:f>
      </x:c>
    </x:row>
    <x:row r="737">
      <x:c r="A737" s="34"/>
      <x:c r="B737" s="36"/>
      <x:c r="C737" s="72"/>
      <x:c r="D737" s="71"/>
      <x:c r="E737" s="41" t="str">
        <x:f>IF(D737="","",D737+273.15)</x:f>
      </x:c>
      <x:c r="F737" s="44" t="str">
        <x:f>IF(OR(C737="",D737="",C736=""),"",(C737-C736)/60)</x:f>
      </x:c>
      <x:c r="G737" s="44" t="str">
        <x:f>IF(D737="","",EXP(-Configuracion!$B$4/Configuracion!$B$5*(1/AVERAGE(E736:E737)-1/(Configuracion!$B$3+273.15))))</x:f>
      </x:c>
      <x:c r="H737" s="44" t="str">
        <x:f>IF(D737="","",F737*G737)</x:f>
      </x:c>
      <x:c r="I737" s="44" t="str">
        <x:f>IF(D737="","",I736+H737)</x:f>
      </x:c>
      <x:c r="J737" s="46" t="str">
        <x:f>IF(D737="","",MIN(1,I737/Configuracion!$B$11))</x:f>
      </x:c>
      <x:c r="K737" s="48" t="str">
        <x:f>IF(D737="","",MAX(0,(Configuracion!$B$11-I737)/G737))</x:f>
      </x:c>
      <x:c r="L737" s="73" t="str">
        <x:f>IF(D737="","",C737+K737*60)</x:f>
      </x:c>
      <x:c r="M737" t="str">
        <x:f>IF(D737="","",IF(J737&gt;=Configuracion!$B$13,"DESLIZAR",IF(J737&gt;=Configuracion!$B$12,"PREPARARSE","NO DESLIZAR")))</x:f>
      </x:c>
      <x:c r="N737" s="41" t="str">
        <x:f>IF(D737="","",D737-$D$8)</x:f>
      </x:c>
      <x:c r="O737" s="46" t="str">
        <x:f>IF(D737="","",MAX(0,MIN(1,N737/Configuracion!$B$10)))</x:f>
      </x:c>
    </x:row>
    <x:row r="738">
      <x:c r="A738" s="34"/>
      <x:c r="B738" s="36"/>
      <x:c r="C738" s="72"/>
      <x:c r="D738" s="71"/>
      <x:c r="E738" s="41" t="str">
        <x:f>IF(D738="","",D738+273.15)</x:f>
      </x:c>
      <x:c r="F738" s="44" t="str">
        <x:f>IF(OR(C738="",D738="",C737=""),"",(C738-C737)/60)</x:f>
      </x:c>
      <x:c r="G738" s="44" t="str">
        <x:f>IF(D738="","",EXP(-Configuracion!$B$4/Configuracion!$B$5*(1/AVERAGE(E737:E738)-1/(Configuracion!$B$3+273.15))))</x:f>
      </x:c>
      <x:c r="H738" s="44" t="str">
        <x:f>IF(D738="","",F738*G738)</x:f>
      </x:c>
      <x:c r="I738" s="44" t="str">
        <x:f>IF(D738="","",I737+H738)</x:f>
      </x:c>
      <x:c r="J738" s="46" t="str">
        <x:f>IF(D738="","",MIN(1,I738/Configuracion!$B$11))</x:f>
      </x:c>
      <x:c r="K738" s="48" t="str">
        <x:f>IF(D738="","",MAX(0,(Configuracion!$B$11-I738)/G738))</x:f>
      </x:c>
      <x:c r="L738" s="73" t="str">
        <x:f>IF(D738="","",C738+K738*60)</x:f>
      </x:c>
      <x:c r="M738" t="str">
        <x:f>IF(D738="","",IF(J738&gt;=Configuracion!$B$13,"DESLIZAR",IF(J738&gt;=Configuracion!$B$12,"PREPARARSE","NO DESLIZAR")))</x:f>
      </x:c>
      <x:c r="N738" s="41" t="str">
        <x:f>IF(D738="","",D738-$D$8)</x:f>
      </x:c>
      <x:c r="O738" s="46" t="str">
        <x:f>IF(D738="","",MAX(0,MIN(1,N738/Configuracion!$B$10)))</x:f>
      </x:c>
    </x:row>
    <x:row r="739">
      <x:c r="A739" s="34"/>
      <x:c r="B739" s="36"/>
      <x:c r="C739" s="72"/>
      <x:c r="D739" s="71"/>
      <x:c r="E739" s="41" t="str">
        <x:f>IF(D739="","",D739+273.15)</x:f>
      </x:c>
      <x:c r="F739" s="44" t="str">
        <x:f>IF(OR(C739="",D739="",C738=""),"",(C739-C738)/60)</x:f>
      </x:c>
      <x:c r="G739" s="44" t="str">
        <x:f>IF(D739="","",EXP(-Configuracion!$B$4/Configuracion!$B$5*(1/AVERAGE(E738:E739)-1/(Configuracion!$B$3+273.15))))</x:f>
      </x:c>
      <x:c r="H739" s="44" t="str">
        <x:f>IF(D739="","",F739*G739)</x:f>
      </x:c>
      <x:c r="I739" s="44" t="str">
        <x:f>IF(D739="","",I738+H739)</x:f>
      </x:c>
      <x:c r="J739" s="46" t="str">
        <x:f>IF(D739="","",MIN(1,I739/Configuracion!$B$11))</x:f>
      </x:c>
      <x:c r="K739" s="48" t="str">
        <x:f>IF(D739="","",MAX(0,(Configuracion!$B$11-I739)/G739))</x:f>
      </x:c>
      <x:c r="L739" s="73" t="str">
        <x:f>IF(D739="","",C739+K739*60)</x:f>
      </x:c>
      <x:c r="M739" t="str">
        <x:f>IF(D739="","",IF(J739&gt;=Configuracion!$B$13,"DESLIZAR",IF(J739&gt;=Configuracion!$B$12,"PREPARARSE","NO DESLIZAR")))</x:f>
      </x:c>
      <x:c r="N739" s="41" t="str">
        <x:f>IF(D739="","",D739-$D$8)</x:f>
      </x:c>
      <x:c r="O739" s="46" t="str">
        <x:f>IF(D739="","",MAX(0,MIN(1,N739/Configuracion!$B$10)))</x:f>
      </x:c>
    </x:row>
    <x:row r="740">
      <x:c r="A740" s="34"/>
      <x:c r="B740" s="36"/>
      <x:c r="C740" s="72"/>
      <x:c r="D740" s="71"/>
      <x:c r="E740" s="41" t="str">
        <x:f>IF(D740="","",D740+273.15)</x:f>
      </x:c>
      <x:c r="F740" s="44" t="str">
        <x:f>IF(OR(C740="",D740="",C739=""),"",(C740-C739)/60)</x:f>
      </x:c>
      <x:c r="G740" s="44" t="str">
        <x:f>IF(D740="","",EXP(-Configuracion!$B$4/Configuracion!$B$5*(1/AVERAGE(E739:E740)-1/(Configuracion!$B$3+273.15))))</x:f>
      </x:c>
      <x:c r="H740" s="44" t="str">
        <x:f>IF(D740="","",F740*G740)</x:f>
      </x:c>
      <x:c r="I740" s="44" t="str">
        <x:f>IF(D740="","",I739+H740)</x:f>
      </x:c>
      <x:c r="J740" s="46" t="str">
        <x:f>IF(D740="","",MIN(1,I740/Configuracion!$B$11))</x:f>
      </x:c>
      <x:c r="K740" s="48" t="str">
        <x:f>IF(D740="","",MAX(0,(Configuracion!$B$11-I740)/G740))</x:f>
      </x:c>
      <x:c r="L740" s="73" t="str">
        <x:f>IF(D740="","",C740+K740*60)</x:f>
      </x:c>
      <x:c r="M740" t="str">
        <x:f>IF(D740="","",IF(J740&gt;=Configuracion!$B$13,"DESLIZAR",IF(J740&gt;=Configuracion!$B$12,"PREPARARSE","NO DESLIZAR")))</x:f>
      </x:c>
      <x:c r="N740" s="41" t="str">
        <x:f>IF(D740="","",D740-$D$8)</x:f>
      </x:c>
      <x:c r="O740" s="46" t="str">
        <x:f>IF(D740="","",MAX(0,MIN(1,N740/Configuracion!$B$10)))</x:f>
      </x:c>
    </x:row>
    <x:row r="741">
      <x:c r="A741" s="34"/>
      <x:c r="B741" s="36"/>
      <x:c r="C741" s="72"/>
      <x:c r="D741" s="71"/>
      <x:c r="E741" s="41" t="str">
        <x:f>IF(D741="","",D741+273.15)</x:f>
      </x:c>
      <x:c r="F741" s="44" t="str">
        <x:f>IF(OR(C741="",D741="",C740=""),"",(C741-C740)/60)</x:f>
      </x:c>
      <x:c r="G741" s="44" t="str">
        <x:f>IF(D741="","",EXP(-Configuracion!$B$4/Configuracion!$B$5*(1/AVERAGE(E740:E741)-1/(Configuracion!$B$3+273.15))))</x:f>
      </x:c>
      <x:c r="H741" s="44" t="str">
        <x:f>IF(D741="","",F741*G741)</x:f>
      </x:c>
      <x:c r="I741" s="44" t="str">
        <x:f>IF(D741="","",I740+H741)</x:f>
      </x:c>
      <x:c r="J741" s="46" t="str">
        <x:f>IF(D741="","",MIN(1,I741/Configuracion!$B$11))</x:f>
      </x:c>
      <x:c r="K741" s="48" t="str">
        <x:f>IF(D741="","",MAX(0,(Configuracion!$B$11-I741)/G741))</x:f>
      </x:c>
      <x:c r="L741" s="73" t="str">
        <x:f>IF(D741="","",C741+K741*60)</x:f>
      </x:c>
      <x:c r="M741" t="str">
        <x:f>IF(D741="","",IF(J741&gt;=Configuracion!$B$13,"DESLIZAR",IF(J741&gt;=Configuracion!$B$12,"PREPARARSE","NO DESLIZAR")))</x:f>
      </x:c>
      <x:c r="N741" s="41" t="str">
        <x:f>IF(D741="","",D741-$D$8)</x:f>
      </x:c>
      <x:c r="O741" s="46" t="str">
        <x:f>IF(D741="","",MAX(0,MIN(1,N741/Configuracion!$B$10)))</x:f>
      </x:c>
    </x:row>
    <x:row r="742">
      <x:c r="A742" s="34"/>
      <x:c r="B742" s="36"/>
      <x:c r="C742" s="72"/>
      <x:c r="D742" s="71"/>
      <x:c r="E742" s="41" t="str">
        <x:f>IF(D742="","",D742+273.15)</x:f>
      </x:c>
      <x:c r="F742" s="44" t="str">
        <x:f>IF(OR(C742="",D742="",C741=""),"",(C742-C741)/60)</x:f>
      </x:c>
      <x:c r="G742" s="44" t="str">
        <x:f>IF(D742="","",EXP(-Configuracion!$B$4/Configuracion!$B$5*(1/AVERAGE(E741:E742)-1/(Configuracion!$B$3+273.15))))</x:f>
      </x:c>
      <x:c r="H742" s="44" t="str">
        <x:f>IF(D742="","",F742*G742)</x:f>
      </x:c>
      <x:c r="I742" s="44" t="str">
        <x:f>IF(D742="","",I741+H742)</x:f>
      </x:c>
      <x:c r="J742" s="46" t="str">
        <x:f>IF(D742="","",MIN(1,I742/Configuracion!$B$11))</x:f>
      </x:c>
      <x:c r="K742" s="48" t="str">
        <x:f>IF(D742="","",MAX(0,(Configuracion!$B$11-I742)/G742))</x:f>
      </x:c>
      <x:c r="L742" s="73" t="str">
        <x:f>IF(D742="","",C742+K742*60)</x:f>
      </x:c>
      <x:c r="M742" t="str">
        <x:f>IF(D742="","",IF(J742&gt;=Configuracion!$B$13,"DESLIZAR",IF(J742&gt;=Configuracion!$B$12,"PREPARARSE","NO DESLIZAR")))</x:f>
      </x:c>
      <x:c r="N742" s="41" t="str">
        <x:f>IF(D742="","",D742-$D$8)</x:f>
      </x:c>
      <x:c r="O742" s="46" t="str">
        <x:f>IF(D742="","",MAX(0,MIN(1,N742/Configuracion!$B$10)))</x:f>
      </x:c>
    </x:row>
    <x:row r="743">
      <x:c r="A743" s="34"/>
      <x:c r="B743" s="36"/>
      <x:c r="C743" s="72"/>
      <x:c r="D743" s="71"/>
      <x:c r="E743" s="41" t="str">
        <x:f>IF(D743="","",D743+273.15)</x:f>
      </x:c>
      <x:c r="F743" s="44" t="str">
        <x:f>IF(OR(C743="",D743="",C742=""),"",(C743-C742)/60)</x:f>
      </x:c>
      <x:c r="G743" s="44" t="str">
        <x:f>IF(D743="","",EXP(-Configuracion!$B$4/Configuracion!$B$5*(1/AVERAGE(E742:E743)-1/(Configuracion!$B$3+273.15))))</x:f>
      </x:c>
      <x:c r="H743" s="44" t="str">
        <x:f>IF(D743="","",F743*G743)</x:f>
      </x:c>
      <x:c r="I743" s="44" t="str">
        <x:f>IF(D743="","",I742+H743)</x:f>
      </x:c>
      <x:c r="J743" s="46" t="str">
        <x:f>IF(D743="","",MIN(1,I743/Configuracion!$B$11))</x:f>
      </x:c>
      <x:c r="K743" s="48" t="str">
        <x:f>IF(D743="","",MAX(0,(Configuracion!$B$11-I743)/G743))</x:f>
      </x:c>
      <x:c r="L743" s="73" t="str">
        <x:f>IF(D743="","",C743+K743*60)</x:f>
      </x:c>
      <x:c r="M743" t="str">
        <x:f>IF(D743="","",IF(J743&gt;=Configuracion!$B$13,"DESLIZAR",IF(J743&gt;=Configuracion!$B$12,"PREPARARSE","NO DESLIZAR")))</x:f>
      </x:c>
      <x:c r="N743" s="41" t="str">
        <x:f>IF(D743="","",D743-$D$8)</x:f>
      </x:c>
      <x:c r="O743" s="46" t="str">
        <x:f>IF(D743="","",MAX(0,MIN(1,N743/Configuracion!$B$10)))</x:f>
      </x:c>
    </x:row>
    <x:row r="744">
      <x:c r="A744" s="34"/>
      <x:c r="B744" s="36"/>
      <x:c r="C744" s="72"/>
      <x:c r="D744" s="71"/>
      <x:c r="E744" s="41" t="str">
        <x:f>IF(D744="","",D744+273.15)</x:f>
      </x:c>
      <x:c r="F744" s="44" t="str">
        <x:f>IF(OR(C744="",D744="",C743=""),"",(C744-C743)/60)</x:f>
      </x:c>
      <x:c r="G744" s="44" t="str">
        <x:f>IF(D744="","",EXP(-Configuracion!$B$4/Configuracion!$B$5*(1/AVERAGE(E743:E744)-1/(Configuracion!$B$3+273.15))))</x:f>
      </x:c>
      <x:c r="H744" s="44" t="str">
        <x:f>IF(D744="","",F744*G744)</x:f>
      </x:c>
      <x:c r="I744" s="44" t="str">
        <x:f>IF(D744="","",I743+H744)</x:f>
      </x:c>
      <x:c r="J744" s="46" t="str">
        <x:f>IF(D744="","",MIN(1,I744/Configuracion!$B$11))</x:f>
      </x:c>
      <x:c r="K744" s="48" t="str">
        <x:f>IF(D744="","",MAX(0,(Configuracion!$B$11-I744)/G744))</x:f>
      </x:c>
      <x:c r="L744" s="73" t="str">
        <x:f>IF(D744="","",C744+K744*60)</x:f>
      </x:c>
      <x:c r="M744" t="str">
        <x:f>IF(D744="","",IF(J744&gt;=Configuracion!$B$13,"DESLIZAR",IF(J744&gt;=Configuracion!$B$12,"PREPARARSE","NO DESLIZAR")))</x:f>
      </x:c>
      <x:c r="N744" s="41" t="str">
        <x:f>IF(D744="","",D744-$D$8)</x:f>
      </x:c>
      <x:c r="O744" s="46" t="str">
        <x:f>IF(D744="","",MAX(0,MIN(1,N744/Configuracion!$B$10)))</x:f>
      </x:c>
    </x:row>
    <x:row r="745">
      <x:c r="A745" s="34"/>
      <x:c r="B745" s="36"/>
      <x:c r="C745" s="72"/>
      <x:c r="D745" s="71"/>
      <x:c r="E745" s="41" t="str">
        <x:f>IF(D745="","",D745+273.15)</x:f>
      </x:c>
      <x:c r="F745" s="44" t="str">
        <x:f>IF(OR(C745="",D745="",C744=""),"",(C745-C744)/60)</x:f>
      </x:c>
      <x:c r="G745" s="44" t="str">
        <x:f>IF(D745="","",EXP(-Configuracion!$B$4/Configuracion!$B$5*(1/AVERAGE(E744:E745)-1/(Configuracion!$B$3+273.15))))</x:f>
      </x:c>
      <x:c r="H745" s="44" t="str">
        <x:f>IF(D745="","",F745*G745)</x:f>
      </x:c>
      <x:c r="I745" s="44" t="str">
        <x:f>IF(D745="","",I744+H745)</x:f>
      </x:c>
      <x:c r="J745" s="46" t="str">
        <x:f>IF(D745="","",MIN(1,I745/Configuracion!$B$11))</x:f>
      </x:c>
      <x:c r="K745" s="48" t="str">
        <x:f>IF(D745="","",MAX(0,(Configuracion!$B$11-I745)/G745))</x:f>
      </x:c>
      <x:c r="L745" s="73" t="str">
        <x:f>IF(D745="","",C745+K745*60)</x:f>
      </x:c>
      <x:c r="M745" t="str">
        <x:f>IF(D745="","",IF(J745&gt;=Configuracion!$B$13,"DESLIZAR",IF(J745&gt;=Configuracion!$B$12,"PREPARARSE","NO DESLIZAR")))</x:f>
      </x:c>
      <x:c r="N745" s="41" t="str">
        <x:f>IF(D745="","",D745-$D$8)</x:f>
      </x:c>
      <x:c r="O745" s="46" t="str">
        <x:f>IF(D745="","",MAX(0,MIN(1,N745/Configuracion!$B$10)))</x:f>
      </x:c>
    </x:row>
    <x:row r="746">
      <x:c r="A746" s="34"/>
      <x:c r="B746" s="36"/>
      <x:c r="C746" s="72"/>
      <x:c r="D746" s="71"/>
      <x:c r="E746" s="41" t="str">
        <x:f>IF(D746="","",D746+273.15)</x:f>
      </x:c>
      <x:c r="F746" s="44" t="str">
        <x:f>IF(OR(C746="",D746="",C745=""),"",(C746-C745)/60)</x:f>
      </x:c>
      <x:c r="G746" s="44" t="str">
        <x:f>IF(D746="","",EXP(-Configuracion!$B$4/Configuracion!$B$5*(1/AVERAGE(E745:E746)-1/(Configuracion!$B$3+273.15))))</x:f>
      </x:c>
      <x:c r="H746" s="44" t="str">
        <x:f>IF(D746="","",F746*G746)</x:f>
      </x:c>
      <x:c r="I746" s="44" t="str">
        <x:f>IF(D746="","",I745+H746)</x:f>
      </x:c>
      <x:c r="J746" s="46" t="str">
        <x:f>IF(D746="","",MIN(1,I746/Configuracion!$B$11))</x:f>
      </x:c>
      <x:c r="K746" s="48" t="str">
        <x:f>IF(D746="","",MAX(0,(Configuracion!$B$11-I746)/G746))</x:f>
      </x:c>
      <x:c r="L746" s="73" t="str">
        <x:f>IF(D746="","",C746+K746*60)</x:f>
      </x:c>
      <x:c r="M746" t="str">
        <x:f>IF(D746="","",IF(J746&gt;=Configuracion!$B$13,"DESLIZAR",IF(J746&gt;=Configuracion!$B$12,"PREPARARSE","NO DESLIZAR")))</x:f>
      </x:c>
      <x:c r="N746" s="41" t="str">
        <x:f>IF(D746="","",D746-$D$8)</x:f>
      </x:c>
      <x:c r="O746" s="46" t="str">
        <x:f>IF(D746="","",MAX(0,MIN(1,N746/Configuracion!$B$10)))</x:f>
      </x:c>
    </x:row>
    <x:row r="747">
      <x:c r="A747" s="34"/>
      <x:c r="B747" s="36"/>
      <x:c r="C747" s="72"/>
      <x:c r="D747" s="71"/>
      <x:c r="E747" s="41" t="str">
        <x:f>IF(D747="","",D747+273.15)</x:f>
      </x:c>
      <x:c r="F747" s="44" t="str">
        <x:f>IF(OR(C747="",D747="",C746=""),"",(C747-C746)/60)</x:f>
      </x:c>
      <x:c r="G747" s="44" t="str">
        <x:f>IF(D747="","",EXP(-Configuracion!$B$4/Configuracion!$B$5*(1/AVERAGE(E746:E747)-1/(Configuracion!$B$3+273.15))))</x:f>
      </x:c>
      <x:c r="H747" s="44" t="str">
        <x:f>IF(D747="","",F747*G747)</x:f>
      </x:c>
      <x:c r="I747" s="44" t="str">
        <x:f>IF(D747="","",I746+H747)</x:f>
      </x:c>
      <x:c r="J747" s="46" t="str">
        <x:f>IF(D747="","",MIN(1,I747/Configuracion!$B$11))</x:f>
      </x:c>
      <x:c r="K747" s="48" t="str">
        <x:f>IF(D747="","",MAX(0,(Configuracion!$B$11-I747)/G747))</x:f>
      </x:c>
      <x:c r="L747" s="73" t="str">
        <x:f>IF(D747="","",C747+K747*60)</x:f>
      </x:c>
      <x:c r="M747" t="str">
        <x:f>IF(D747="","",IF(J747&gt;=Configuracion!$B$13,"DESLIZAR",IF(J747&gt;=Configuracion!$B$12,"PREPARARSE","NO DESLIZAR")))</x:f>
      </x:c>
      <x:c r="N747" s="41" t="str">
        <x:f>IF(D747="","",D747-$D$8)</x:f>
      </x:c>
      <x:c r="O747" s="46" t="str">
        <x:f>IF(D747="","",MAX(0,MIN(1,N747/Configuracion!$B$10)))</x:f>
      </x:c>
    </x:row>
    <x:row r="748">
      <x:c r="A748" s="34"/>
      <x:c r="B748" s="36"/>
      <x:c r="C748" s="72"/>
      <x:c r="D748" s="71"/>
      <x:c r="E748" s="41" t="str">
        <x:f>IF(D748="","",D748+273.15)</x:f>
      </x:c>
      <x:c r="F748" s="44" t="str">
        <x:f>IF(OR(C748="",D748="",C747=""),"",(C748-C747)/60)</x:f>
      </x:c>
      <x:c r="G748" s="44" t="str">
        <x:f>IF(D748="","",EXP(-Configuracion!$B$4/Configuracion!$B$5*(1/AVERAGE(E747:E748)-1/(Configuracion!$B$3+273.15))))</x:f>
      </x:c>
      <x:c r="H748" s="44" t="str">
        <x:f>IF(D748="","",F748*G748)</x:f>
      </x:c>
      <x:c r="I748" s="44" t="str">
        <x:f>IF(D748="","",I747+H748)</x:f>
      </x:c>
      <x:c r="J748" s="46" t="str">
        <x:f>IF(D748="","",MIN(1,I748/Configuracion!$B$11))</x:f>
      </x:c>
      <x:c r="K748" s="48" t="str">
        <x:f>IF(D748="","",MAX(0,(Configuracion!$B$11-I748)/G748))</x:f>
      </x:c>
      <x:c r="L748" s="73" t="str">
        <x:f>IF(D748="","",C748+K748*60)</x:f>
      </x:c>
      <x:c r="M748" t="str">
        <x:f>IF(D748="","",IF(J748&gt;=Configuracion!$B$13,"DESLIZAR",IF(J748&gt;=Configuracion!$B$12,"PREPARARSE","NO DESLIZAR")))</x:f>
      </x:c>
      <x:c r="N748" s="41" t="str">
        <x:f>IF(D748="","",D748-$D$8)</x:f>
      </x:c>
      <x:c r="O748" s="46" t="str">
        <x:f>IF(D748="","",MAX(0,MIN(1,N748/Configuracion!$B$10)))</x:f>
      </x:c>
    </x:row>
    <x:row r="749">
      <x:c r="A749" s="34"/>
      <x:c r="B749" s="36"/>
      <x:c r="C749" s="72"/>
      <x:c r="D749" s="71"/>
      <x:c r="E749" s="41" t="str">
        <x:f>IF(D749="","",D749+273.15)</x:f>
      </x:c>
      <x:c r="F749" s="44" t="str">
        <x:f>IF(OR(C749="",D749="",C748=""),"",(C749-C748)/60)</x:f>
      </x:c>
      <x:c r="G749" s="44" t="str">
        <x:f>IF(D749="","",EXP(-Configuracion!$B$4/Configuracion!$B$5*(1/AVERAGE(E748:E749)-1/(Configuracion!$B$3+273.15))))</x:f>
      </x:c>
      <x:c r="H749" s="44" t="str">
        <x:f>IF(D749="","",F749*G749)</x:f>
      </x:c>
      <x:c r="I749" s="44" t="str">
        <x:f>IF(D749="","",I748+H749)</x:f>
      </x:c>
      <x:c r="J749" s="46" t="str">
        <x:f>IF(D749="","",MIN(1,I749/Configuracion!$B$11))</x:f>
      </x:c>
      <x:c r="K749" s="48" t="str">
        <x:f>IF(D749="","",MAX(0,(Configuracion!$B$11-I749)/G749))</x:f>
      </x:c>
      <x:c r="L749" s="73" t="str">
        <x:f>IF(D749="","",C749+K749*60)</x:f>
      </x:c>
      <x:c r="M749" t="str">
        <x:f>IF(D749="","",IF(J749&gt;=Configuracion!$B$13,"DESLIZAR",IF(J749&gt;=Configuracion!$B$12,"PREPARARSE","NO DESLIZAR")))</x:f>
      </x:c>
      <x:c r="N749" s="41" t="str">
        <x:f>IF(D749="","",D749-$D$8)</x:f>
      </x:c>
      <x:c r="O749" s="46" t="str">
        <x:f>IF(D749="","",MAX(0,MIN(1,N749/Configuracion!$B$10)))</x:f>
      </x:c>
    </x:row>
    <x:row r="750">
      <x:c r="A750" s="34"/>
      <x:c r="B750" s="36"/>
      <x:c r="C750" s="72"/>
      <x:c r="D750" s="71"/>
      <x:c r="E750" s="41" t="str">
        <x:f>IF(D750="","",D750+273.15)</x:f>
      </x:c>
      <x:c r="F750" s="44" t="str">
        <x:f>IF(OR(C750="",D750="",C749=""),"",(C750-C749)/60)</x:f>
      </x:c>
      <x:c r="G750" s="44" t="str">
        <x:f>IF(D750="","",EXP(-Configuracion!$B$4/Configuracion!$B$5*(1/AVERAGE(E749:E750)-1/(Configuracion!$B$3+273.15))))</x:f>
      </x:c>
      <x:c r="H750" s="44" t="str">
        <x:f>IF(D750="","",F750*G750)</x:f>
      </x:c>
      <x:c r="I750" s="44" t="str">
        <x:f>IF(D750="","",I749+H750)</x:f>
      </x:c>
      <x:c r="J750" s="46" t="str">
        <x:f>IF(D750="","",MIN(1,I750/Configuracion!$B$11))</x:f>
      </x:c>
      <x:c r="K750" s="48" t="str">
        <x:f>IF(D750="","",MAX(0,(Configuracion!$B$11-I750)/G750))</x:f>
      </x:c>
      <x:c r="L750" s="73" t="str">
        <x:f>IF(D750="","",C750+K750*60)</x:f>
      </x:c>
      <x:c r="M750" t="str">
        <x:f>IF(D750="","",IF(J750&gt;=Configuracion!$B$13,"DESLIZAR",IF(J750&gt;=Configuracion!$B$12,"PREPARARSE","NO DESLIZAR")))</x:f>
      </x:c>
      <x:c r="N750" s="41" t="str">
        <x:f>IF(D750="","",D750-$D$8)</x:f>
      </x:c>
      <x:c r="O750" s="46" t="str">
        <x:f>IF(D750="","",MAX(0,MIN(1,N750/Configuracion!$B$10)))</x:f>
      </x:c>
    </x:row>
    <x:row r="751">
      <x:c r="A751" s="34"/>
      <x:c r="B751" s="36"/>
      <x:c r="C751" s="72"/>
      <x:c r="D751" s="71"/>
      <x:c r="E751" s="41" t="str">
        <x:f>IF(D751="","",D751+273.15)</x:f>
      </x:c>
      <x:c r="F751" s="44" t="str">
        <x:f>IF(OR(C751="",D751="",C750=""),"",(C751-C750)/60)</x:f>
      </x:c>
      <x:c r="G751" s="44" t="str">
        <x:f>IF(D751="","",EXP(-Configuracion!$B$4/Configuracion!$B$5*(1/AVERAGE(E750:E751)-1/(Configuracion!$B$3+273.15))))</x:f>
      </x:c>
      <x:c r="H751" s="44" t="str">
        <x:f>IF(D751="","",F751*G751)</x:f>
      </x:c>
      <x:c r="I751" s="44" t="str">
        <x:f>IF(D751="","",I750+H751)</x:f>
      </x:c>
      <x:c r="J751" s="46" t="str">
        <x:f>IF(D751="","",MIN(1,I751/Configuracion!$B$11))</x:f>
      </x:c>
      <x:c r="K751" s="48" t="str">
        <x:f>IF(D751="","",MAX(0,(Configuracion!$B$11-I751)/G751))</x:f>
      </x:c>
      <x:c r="L751" s="73" t="str">
        <x:f>IF(D751="","",C751+K751*60)</x:f>
      </x:c>
      <x:c r="M751" t="str">
        <x:f>IF(D751="","",IF(J751&gt;=Configuracion!$B$13,"DESLIZAR",IF(J751&gt;=Configuracion!$B$12,"PREPARARSE","NO DESLIZAR")))</x:f>
      </x:c>
      <x:c r="N751" s="41" t="str">
        <x:f>IF(D751="","",D751-$D$8)</x:f>
      </x:c>
      <x:c r="O751" s="46" t="str">
        <x:f>IF(D751="","",MAX(0,MIN(1,N751/Configuracion!$B$10)))</x:f>
      </x:c>
    </x:row>
    <x:row r="752">
      <x:c r="A752" s="34"/>
      <x:c r="B752" s="36"/>
      <x:c r="C752" s="72"/>
      <x:c r="D752" s="71"/>
      <x:c r="E752" s="41" t="str">
        <x:f>IF(D752="","",D752+273.15)</x:f>
      </x:c>
      <x:c r="F752" s="44" t="str">
        <x:f>IF(OR(C752="",D752="",C751=""),"",(C752-C751)/60)</x:f>
      </x:c>
      <x:c r="G752" s="44" t="str">
        <x:f>IF(D752="","",EXP(-Configuracion!$B$4/Configuracion!$B$5*(1/AVERAGE(E751:E752)-1/(Configuracion!$B$3+273.15))))</x:f>
      </x:c>
      <x:c r="H752" s="44" t="str">
        <x:f>IF(D752="","",F752*G752)</x:f>
      </x:c>
      <x:c r="I752" s="44" t="str">
        <x:f>IF(D752="","",I751+H752)</x:f>
      </x:c>
      <x:c r="J752" s="46" t="str">
        <x:f>IF(D752="","",MIN(1,I752/Configuracion!$B$11))</x:f>
      </x:c>
      <x:c r="K752" s="48" t="str">
        <x:f>IF(D752="","",MAX(0,(Configuracion!$B$11-I752)/G752))</x:f>
      </x:c>
      <x:c r="L752" s="73" t="str">
        <x:f>IF(D752="","",C752+K752*60)</x:f>
      </x:c>
      <x:c r="M752" t="str">
        <x:f>IF(D752="","",IF(J752&gt;=Configuracion!$B$13,"DESLIZAR",IF(J752&gt;=Configuracion!$B$12,"PREPARARSE","NO DESLIZAR")))</x:f>
      </x:c>
      <x:c r="N752" s="41" t="str">
        <x:f>IF(D752="","",D752-$D$8)</x:f>
      </x:c>
      <x:c r="O752" s="46" t="str">
        <x:f>IF(D752="","",MAX(0,MIN(1,N752/Configuracion!$B$10)))</x:f>
      </x:c>
    </x:row>
    <x:row r="753">
      <x:c r="A753" s="34"/>
      <x:c r="B753" s="36"/>
      <x:c r="C753" s="72"/>
      <x:c r="D753" s="71"/>
      <x:c r="E753" s="41" t="str">
        <x:f>IF(D753="","",D753+273.15)</x:f>
      </x:c>
      <x:c r="F753" s="44" t="str">
        <x:f>IF(OR(C753="",D753="",C752=""),"",(C753-C752)/60)</x:f>
      </x:c>
      <x:c r="G753" s="44" t="str">
        <x:f>IF(D753="","",EXP(-Configuracion!$B$4/Configuracion!$B$5*(1/AVERAGE(E752:E753)-1/(Configuracion!$B$3+273.15))))</x:f>
      </x:c>
      <x:c r="H753" s="44" t="str">
        <x:f>IF(D753="","",F753*G753)</x:f>
      </x:c>
      <x:c r="I753" s="44" t="str">
        <x:f>IF(D753="","",I752+H753)</x:f>
      </x:c>
      <x:c r="J753" s="46" t="str">
        <x:f>IF(D753="","",MIN(1,I753/Configuracion!$B$11))</x:f>
      </x:c>
      <x:c r="K753" s="48" t="str">
        <x:f>IF(D753="","",MAX(0,(Configuracion!$B$11-I753)/G753))</x:f>
      </x:c>
      <x:c r="L753" s="73" t="str">
        <x:f>IF(D753="","",C753+K753*60)</x:f>
      </x:c>
      <x:c r="M753" t="str">
        <x:f>IF(D753="","",IF(J753&gt;=Configuracion!$B$13,"DESLIZAR",IF(J753&gt;=Configuracion!$B$12,"PREPARARSE","NO DESLIZAR")))</x:f>
      </x:c>
      <x:c r="N753" s="41" t="str">
        <x:f>IF(D753="","",D753-$D$8)</x:f>
      </x:c>
      <x:c r="O753" s="46" t="str">
        <x:f>IF(D753="","",MAX(0,MIN(1,N753/Configuracion!$B$10)))</x:f>
      </x:c>
    </x:row>
    <x:row r="754">
      <x:c r="A754" s="34"/>
      <x:c r="B754" s="36"/>
      <x:c r="C754" s="72"/>
      <x:c r="D754" s="71"/>
      <x:c r="E754" s="41" t="str">
        <x:f>IF(D754="","",D754+273.15)</x:f>
      </x:c>
      <x:c r="F754" s="44" t="str">
        <x:f>IF(OR(C754="",D754="",C753=""),"",(C754-C753)/60)</x:f>
      </x:c>
      <x:c r="G754" s="44" t="str">
        <x:f>IF(D754="","",EXP(-Configuracion!$B$4/Configuracion!$B$5*(1/AVERAGE(E753:E754)-1/(Configuracion!$B$3+273.15))))</x:f>
      </x:c>
      <x:c r="H754" s="44" t="str">
        <x:f>IF(D754="","",F754*G754)</x:f>
      </x:c>
      <x:c r="I754" s="44" t="str">
        <x:f>IF(D754="","",I753+H754)</x:f>
      </x:c>
      <x:c r="J754" s="46" t="str">
        <x:f>IF(D754="","",MIN(1,I754/Configuracion!$B$11))</x:f>
      </x:c>
      <x:c r="K754" s="48" t="str">
        <x:f>IF(D754="","",MAX(0,(Configuracion!$B$11-I754)/G754))</x:f>
      </x:c>
      <x:c r="L754" s="73" t="str">
        <x:f>IF(D754="","",C754+K754*60)</x:f>
      </x:c>
      <x:c r="M754" t="str">
        <x:f>IF(D754="","",IF(J754&gt;=Configuracion!$B$13,"DESLIZAR",IF(J754&gt;=Configuracion!$B$12,"PREPARARSE","NO DESLIZAR")))</x:f>
      </x:c>
      <x:c r="N754" s="41" t="str">
        <x:f>IF(D754="","",D754-$D$8)</x:f>
      </x:c>
      <x:c r="O754" s="46" t="str">
        <x:f>IF(D754="","",MAX(0,MIN(1,N754/Configuracion!$B$10)))</x:f>
      </x:c>
    </x:row>
    <x:row r="755">
      <x:c r="A755" s="34"/>
      <x:c r="B755" s="36"/>
      <x:c r="C755" s="72"/>
      <x:c r="D755" s="71"/>
      <x:c r="E755" s="41" t="str">
        <x:f>IF(D755="","",D755+273.15)</x:f>
      </x:c>
      <x:c r="F755" s="44" t="str">
        <x:f>IF(OR(C755="",D755="",C754=""),"",(C755-C754)/60)</x:f>
      </x:c>
      <x:c r="G755" s="44" t="str">
        <x:f>IF(D755="","",EXP(-Configuracion!$B$4/Configuracion!$B$5*(1/AVERAGE(E754:E755)-1/(Configuracion!$B$3+273.15))))</x:f>
      </x:c>
      <x:c r="H755" s="44" t="str">
        <x:f>IF(D755="","",F755*G755)</x:f>
      </x:c>
      <x:c r="I755" s="44" t="str">
        <x:f>IF(D755="","",I754+H755)</x:f>
      </x:c>
      <x:c r="J755" s="46" t="str">
        <x:f>IF(D755="","",MIN(1,I755/Configuracion!$B$11))</x:f>
      </x:c>
      <x:c r="K755" s="48" t="str">
        <x:f>IF(D755="","",MAX(0,(Configuracion!$B$11-I755)/G755))</x:f>
      </x:c>
      <x:c r="L755" s="73" t="str">
        <x:f>IF(D755="","",C755+K755*60)</x:f>
      </x:c>
      <x:c r="M755" t="str">
        <x:f>IF(D755="","",IF(J755&gt;=Configuracion!$B$13,"DESLIZAR",IF(J755&gt;=Configuracion!$B$12,"PREPARARSE","NO DESLIZAR")))</x:f>
      </x:c>
      <x:c r="N755" s="41" t="str">
        <x:f>IF(D755="","",D755-$D$8)</x:f>
      </x:c>
      <x:c r="O755" s="46" t="str">
        <x:f>IF(D755="","",MAX(0,MIN(1,N755/Configuracion!$B$10)))</x:f>
      </x:c>
    </x:row>
    <x:row r="756">
      <x:c r="A756" s="34"/>
      <x:c r="B756" s="36"/>
      <x:c r="C756" s="72"/>
      <x:c r="D756" s="71"/>
      <x:c r="E756" s="41" t="str">
        <x:f>IF(D756="","",D756+273.15)</x:f>
      </x:c>
      <x:c r="F756" s="44" t="str">
        <x:f>IF(OR(C756="",D756="",C755=""),"",(C756-C755)/60)</x:f>
      </x:c>
      <x:c r="G756" s="44" t="str">
        <x:f>IF(D756="","",EXP(-Configuracion!$B$4/Configuracion!$B$5*(1/AVERAGE(E755:E756)-1/(Configuracion!$B$3+273.15))))</x:f>
      </x:c>
      <x:c r="H756" s="44" t="str">
        <x:f>IF(D756="","",F756*G756)</x:f>
      </x:c>
      <x:c r="I756" s="44" t="str">
        <x:f>IF(D756="","",I755+H756)</x:f>
      </x:c>
      <x:c r="J756" s="46" t="str">
        <x:f>IF(D756="","",MIN(1,I756/Configuracion!$B$11))</x:f>
      </x:c>
      <x:c r="K756" s="48" t="str">
        <x:f>IF(D756="","",MAX(0,(Configuracion!$B$11-I756)/G756))</x:f>
      </x:c>
      <x:c r="L756" s="73" t="str">
        <x:f>IF(D756="","",C756+K756*60)</x:f>
      </x:c>
      <x:c r="M756" t="str">
        <x:f>IF(D756="","",IF(J756&gt;=Configuracion!$B$13,"DESLIZAR",IF(J756&gt;=Configuracion!$B$12,"PREPARARSE","NO DESLIZAR")))</x:f>
      </x:c>
      <x:c r="N756" s="41" t="str">
        <x:f>IF(D756="","",D756-$D$8)</x:f>
      </x:c>
      <x:c r="O756" s="46" t="str">
        <x:f>IF(D756="","",MAX(0,MIN(1,N756/Configuracion!$B$10)))</x:f>
      </x:c>
    </x:row>
    <x:row r="757">
      <x:c r="A757" s="34"/>
      <x:c r="B757" s="36"/>
      <x:c r="C757" s="72"/>
      <x:c r="D757" s="71"/>
      <x:c r="E757" s="41" t="str">
        <x:f>IF(D757="","",D757+273.15)</x:f>
      </x:c>
      <x:c r="F757" s="44" t="str">
        <x:f>IF(OR(C757="",D757="",C756=""),"",(C757-C756)/60)</x:f>
      </x:c>
      <x:c r="G757" s="44" t="str">
        <x:f>IF(D757="","",EXP(-Configuracion!$B$4/Configuracion!$B$5*(1/AVERAGE(E756:E757)-1/(Configuracion!$B$3+273.15))))</x:f>
      </x:c>
      <x:c r="H757" s="44" t="str">
        <x:f>IF(D757="","",F757*G757)</x:f>
      </x:c>
      <x:c r="I757" s="44" t="str">
        <x:f>IF(D757="","",I756+H757)</x:f>
      </x:c>
      <x:c r="J757" s="46" t="str">
        <x:f>IF(D757="","",MIN(1,I757/Configuracion!$B$11))</x:f>
      </x:c>
      <x:c r="K757" s="48" t="str">
        <x:f>IF(D757="","",MAX(0,(Configuracion!$B$11-I757)/G757))</x:f>
      </x:c>
      <x:c r="L757" s="73" t="str">
        <x:f>IF(D757="","",C757+K757*60)</x:f>
      </x:c>
      <x:c r="M757" t="str">
        <x:f>IF(D757="","",IF(J757&gt;=Configuracion!$B$13,"DESLIZAR",IF(J757&gt;=Configuracion!$B$12,"PREPARARSE","NO DESLIZAR")))</x:f>
      </x:c>
      <x:c r="N757" s="41" t="str">
        <x:f>IF(D757="","",D757-$D$8)</x:f>
      </x:c>
      <x:c r="O757" s="46" t="str">
        <x:f>IF(D757="","",MAX(0,MIN(1,N757/Configuracion!$B$10)))</x:f>
      </x:c>
    </x:row>
    <x:row r="758">
      <x:c r="A758" s="34"/>
      <x:c r="B758" s="36"/>
      <x:c r="C758" s="72"/>
      <x:c r="D758" s="71"/>
      <x:c r="E758" s="41" t="str">
        <x:f>IF(D758="","",D758+273.15)</x:f>
      </x:c>
      <x:c r="F758" s="44" t="str">
        <x:f>IF(OR(C758="",D758="",C757=""),"",(C758-C757)/60)</x:f>
      </x:c>
      <x:c r="G758" s="44" t="str">
        <x:f>IF(D758="","",EXP(-Configuracion!$B$4/Configuracion!$B$5*(1/AVERAGE(E757:E758)-1/(Configuracion!$B$3+273.15))))</x:f>
      </x:c>
      <x:c r="H758" s="44" t="str">
        <x:f>IF(D758="","",F758*G758)</x:f>
      </x:c>
      <x:c r="I758" s="44" t="str">
        <x:f>IF(D758="","",I757+H758)</x:f>
      </x:c>
      <x:c r="J758" s="46" t="str">
        <x:f>IF(D758="","",MIN(1,I758/Configuracion!$B$11))</x:f>
      </x:c>
      <x:c r="K758" s="48" t="str">
        <x:f>IF(D758="","",MAX(0,(Configuracion!$B$11-I758)/G758))</x:f>
      </x:c>
      <x:c r="L758" s="73" t="str">
        <x:f>IF(D758="","",C758+K758*60)</x:f>
      </x:c>
      <x:c r="M758" t="str">
        <x:f>IF(D758="","",IF(J758&gt;=Configuracion!$B$13,"DESLIZAR",IF(J758&gt;=Configuracion!$B$12,"PREPARARSE","NO DESLIZAR")))</x:f>
      </x:c>
      <x:c r="N758" s="41" t="str">
        <x:f>IF(D758="","",D758-$D$8)</x:f>
      </x:c>
      <x:c r="O758" s="46" t="str">
        <x:f>IF(D758="","",MAX(0,MIN(1,N758/Configuracion!$B$10)))</x:f>
      </x:c>
    </x:row>
    <x:row r="759">
      <x:c r="A759" s="34"/>
      <x:c r="B759" s="36"/>
      <x:c r="C759" s="72"/>
      <x:c r="D759" s="71"/>
      <x:c r="E759" s="41" t="str">
        <x:f>IF(D759="","",D759+273.15)</x:f>
      </x:c>
      <x:c r="F759" s="44" t="str">
        <x:f>IF(OR(C759="",D759="",C758=""),"",(C759-C758)/60)</x:f>
      </x:c>
      <x:c r="G759" s="44" t="str">
        <x:f>IF(D759="","",EXP(-Configuracion!$B$4/Configuracion!$B$5*(1/AVERAGE(E758:E759)-1/(Configuracion!$B$3+273.15))))</x:f>
      </x:c>
      <x:c r="H759" s="44" t="str">
        <x:f>IF(D759="","",F759*G759)</x:f>
      </x:c>
      <x:c r="I759" s="44" t="str">
        <x:f>IF(D759="","",I758+H759)</x:f>
      </x:c>
      <x:c r="J759" s="46" t="str">
        <x:f>IF(D759="","",MIN(1,I759/Configuracion!$B$11))</x:f>
      </x:c>
      <x:c r="K759" s="48" t="str">
        <x:f>IF(D759="","",MAX(0,(Configuracion!$B$11-I759)/G759))</x:f>
      </x:c>
      <x:c r="L759" s="73" t="str">
        <x:f>IF(D759="","",C759+K759*60)</x:f>
      </x:c>
      <x:c r="M759" t="str">
        <x:f>IF(D759="","",IF(J759&gt;=Configuracion!$B$13,"DESLIZAR",IF(J759&gt;=Configuracion!$B$12,"PREPARARSE","NO DESLIZAR")))</x:f>
      </x:c>
      <x:c r="N759" s="41" t="str">
        <x:f>IF(D759="","",D759-$D$8)</x:f>
      </x:c>
      <x:c r="O759" s="46" t="str">
        <x:f>IF(D759="","",MAX(0,MIN(1,N759/Configuracion!$B$10)))</x:f>
      </x:c>
    </x:row>
    <x:row r="760">
      <x:c r="A760" s="34"/>
      <x:c r="B760" s="36"/>
      <x:c r="C760" s="72"/>
      <x:c r="D760" s="71"/>
      <x:c r="E760" s="41" t="str">
        <x:f>IF(D760="","",D760+273.15)</x:f>
      </x:c>
      <x:c r="F760" s="44" t="str">
        <x:f>IF(OR(C760="",D760="",C759=""),"",(C760-C759)/60)</x:f>
      </x:c>
      <x:c r="G760" s="44" t="str">
        <x:f>IF(D760="","",EXP(-Configuracion!$B$4/Configuracion!$B$5*(1/AVERAGE(E759:E760)-1/(Configuracion!$B$3+273.15))))</x:f>
      </x:c>
      <x:c r="H760" s="44" t="str">
        <x:f>IF(D760="","",F760*G760)</x:f>
      </x:c>
      <x:c r="I760" s="44" t="str">
        <x:f>IF(D760="","",I759+H760)</x:f>
      </x:c>
      <x:c r="J760" s="46" t="str">
        <x:f>IF(D760="","",MIN(1,I760/Configuracion!$B$11))</x:f>
      </x:c>
      <x:c r="K760" s="48" t="str">
        <x:f>IF(D760="","",MAX(0,(Configuracion!$B$11-I760)/G760))</x:f>
      </x:c>
      <x:c r="L760" s="73" t="str">
        <x:f>IF(D760="","",C760+K760*60)</x:f>
      </x:c>
      <x:c r="M760" t="str">
        <x:f>IF(D760="","",IF(J760&gt;=Configuracion!$B$13,"DESLIZAR",IF(J760&gt;=Configuracion!$B$12,"PREPARARSE","NO DESLIZAR")))</x:f>
      </x:c>
      <x:c r="N760" s="41" t="str">
        <x:f>IF(D760="","",D760-$D$8)</x:f>
      </x:c>
      <x:c r="O760" s="46" t="str">
        <x:f>IF(D760="","",MAX(0,MIN(1,N760/Configuracion!$B$10)))</x:f>
      </x:c>
    </x:row>
    <x:row r="761">
      <x:c r="A761" s="34"/>
      <x:c r="B761" s="36"/>
      <x:c r="C761" s="72"/>
      <x:c r="D761" s="71"/>
      <x:c r="E761" s="41" t="str">
        <x:f>IF(D761="","",D761+273.15)</x:f>
      </x:c>
      <x:c r="F761" s="44" t="str">
        <x:f>IF(OR(C761="",D761="",C760=""),"",(C761-C760)/60)</x:f>
      </x:c>
      <x:c r="G761" s="44" t="str">
        <x:f>IF(D761="","",EXP(-Configuracion!$B$4/Configuracion!$B$5*(1/AVERAGE(E760:E761)-1/(Configuracion!$B$3+273.15))))</x:f>
      </x:c>
      <x:c r="H761" s="44" t="str">
        <x:f>IF(D761="","",F761*G761)</x:f>
      </x:c>
      <x:c r="I761" s="44" t="str">
        <x:f>IF(D761="","",I760+H761)</x:f>
      </x:c>
      <x:c r="J761" s="46" t="str">
        <x:f>IF(D761="","",MIN(1,I761/Configuracion!$B$11))</x:f>
      </x:c>
      <x:c r="K761" s="48" t="str">
        <x:f>IF(D761="","",MAX(0,(Configuracion!$B$11-I761)/G761))</x:f>
      </x:c>
      <x:c r="L761" s="73" t="str">
        <x:f>IF(D761="","",C761+K761*60)</x:f>
      </x:c>
      <x:c r="M761" t="str">
        <x:f>IF(D761="","",IF(J761&gt;=Configuracion!$B$13,"DESLIZAR",IF(J761&gt;=Configuracion!$B$12,"PREPARARSE","NO DESLIZAR")))</x:f>
      </x:c>
      <x:c r="N761" s="41" t="str">
        <x:f>IF(D761="","",D761-$D$8)</x:f>
      </x:c>
      <x:c r="O761" s="46" t="str">
        <x:f>IF(D761="","",MAX(0,MIN(1,N761/Configuracion!$B$10)))</x:f>
      </x:c>
    </x:row>
    <x:row r="762">
      <x:c r="A762" s="34"/>
      <x:c r="B762" s="36"/>
      <x:c r="C762" s="72"/>
      <x:c r="D762" s="71"/>
      <x:c r="E762" s="41" t="str">
        <x:f>IF(D762="","",D762+273.15)</x:f>
      </x:c>
      <x:c r="F762" s="44" t="str">
        <x:f>IF(OR(C762="",D762="",C761=""),"",(C762-C761)/60)</x:f>
      </x:c>
      <x:c r="G762" s="44" t="str">
        <x:f>IF(D762="","",EXP(-Configuracion!$B$4/Configuracion!$B$5*(1/AVERAGE(E761:E762)-1/(Configuracion!$B$3+273.15))))</x:f>
      </x:c>
      <x:c r="H762" s="44" t="str">
        <x:f>IF(D762="","",F762*G762)</x:f>
      </x:c>
      <x:c r="I762" s="44" t="str">
        <x:f>IF(D762="","",I761+H762)</x:f>
      </x:c>
      <x:c r="J762" s="46" t="str">
        <x:f>IF(D762="","",MIN(1,I762/Configuracion!$B$11))</x:f>
      </x:c>
      <x:c r="K762" s="48" t="str">
        <x:f>IF(D762="","",MAX(0,(Configuracion!$B$11-I762)/G762))</x:f>
      </x:c>
      <x:c r="L762" s="73" t="str">
        <x:f>IF(D762="","",C762+K762*60)</x:f>
      </x:c>
      <x:c r="M762" t="str">
        <x:f>IF(D762="","",IF(J762&gt;=Configuracion!$B$13,"DESLIZAR",IF(J762&gt;=Configuracion!$B$12,"PREPARARSE","NO DESLIZAR")))</x:f>
      </x:c>
      <x:c r="N762" s="41" t="str">
        <x:f>IF(D762="","",D762-$D$8)</x:f>
      </x:c>
      <x:c r="O762" s="46" t="str">
        <x:f>IF(D762="","",MAX(0,MIN(1,N762/Configuracion!$B$10)))</x:f>
      </x:c>
    </x:row>
    <x:row r="763">
      <x:c r="A763" s="34"/>
      <x:c r="B763" s="36"/>
      <x:c r="C763" s="72"/>
      <x:c r="D763" s="71"/>
      <x:c r="E763" s="41" t="str">
        <x:f>IF(D763="","",D763+273.15)</x:f>
      </x:c>
      <x:c r="F763" s="44" t="str">
        <x:f>IF(OR(C763="",D763="",C762=""),"",(C763-C762)/60)</x:f>
      </x:c>
      <x:c r="G763" s="44" t="str">
        <x:f>IF(D763="","",EXP(-Configuracion!$B$4/Configuracion!$B$5*(1/AVERAGE(E762:E763)-1/(Configuracion!$B$3+273.15))))</x:f>
      </x:c>
      <x:c r="H763" s="44" t="str">
        <x:f>IF(D763="","",F763*G763)</x:f>
      </x:c>
      <x:c r="I763" s="44" t="str">
        <x:f>IF(D763="","",I762+H763)</x:f>
      </x:c>
      <x:c r="J763" s="46" t="str">
        <x:f>IF(D763="","",MIN(1,I763/Configuracion!$B$11))</x:f>
      </x:c>
      <x:c r="K763" s="48" t="str">
        <x:f>IF(D763="","",MAX(0,(Configuracion!$B$11-I763)/G763))</x:f>
      </x:c>
      <x:c r="L763" s="73" t="str">
        <x:f>IF(D763="","",C763+K763*60)</x:f>
      </x:c>
      <x:c r="M763" t="str">
        <x:f>IF(D763="","",IF(J763&gt;=Configuracion!$B$13,"DESLIZAR",IF(J763&gt;=Configuracion!$B$12,"PREPARARSE","NO DESLIZAR")))</x:f>
      </x:c>
      <x:c r="N763" s="41" t="str">
        <x:f>IF(D763="","",D763-$D$8)</x:f>
      </x:c>
      <x:c r="O763" s="46" t="str">
        <x:f>IF(D763="","",MAX(0,MIN(1,N763/Configuracion!$B$10)))</x:f>
      </x:c>
    </x:row>
    <x:row r="764">
      <x:c r="A764" s="34"/>
      <x:c r="B764" s="36"/>
      <x:c r="C764" s="72"/>
      <x:c r="D764" s="71"/>
      <x:c r="E764" s="41" t="str">
        <x:f>IF(D764="","",D764+273.15)</x:f>
      </x:c>
      <x:c r="F764" s="44" t="str">
        <x:f>IF(OR(C764="",D764="",C763=""),"",(C764-C763)/60)</x:f>
      </x:c>
      <x:c r="G764" s="44" t="str">
        <x:f>IF(D764="","",EXP(-Configuracion!$B$4/Configuracion!$B$5*(1/AVERAGE(E763:E764)-1/(Configuracion!$B$3+273.15))))</x:f>
      </x:c>
      <x:c r="H764" s="44" t="str">
        <x:f>IF(D764="","",F764*G764)</x:f>
      </x:c>
      <x:c r="I764" s="44" t="str">
        <x:f>IF(D764="","",I763+H764)</x:f>
      </x:c>
      <x:c r="J764" s="46" t="str">
        <x:f>IF(D764="","",MIN(1,I764/Configuracion!$B$11))</x:f>
      </x:c>
      <x:c r="K764" s="48" t="str">
        <x:f>IF(D764="","",MAX(0,(Configuracion!$B$11-I764)/G764))</x:f>
      </x:c>
      <x:c r="L764" s="73" t="str">
        <x:f>IF(D764="","",C764+K764*60)</x:f>
      </x:c>
      <x:c r="M764" t="str">
        <x:f>IF(D764="","",IF(J764&gt;=Configuracion!$B$13,"DESLIZAR",IF(J764&gt;=Configuracion!$B$12,"PREPARARSE","NO DESLIZAR")))</x:f>
      </x:c>
      <x:c r="N764" s="41" t="str">
        <x:f>IF(D764="","",D764-$D$8)</x:f>
      </x:c>
      <x:c r="O764" s="46" t="str">
        <x:f>IF(D764="","",MAX(0,MIN(1,N764/Configuracion!$B$10)))</x:f>
      </x:c>
    </x:row>
    <x:row r="765">
      <x:c r="A765" s="34"/>
      <x:c r="B765" s="36"/>
      <x:c r="C765" s="72"/>
      <x:c r="D765" s="71"/>
      <x:c r="E765" s="41" t="str">
        <x:f>IF(D765="","",D765+273.15)</x:f>
      </x:c>
      <x:c r="F765" s="44" t="str">
        <x:f>IF(OR(C765="",D765="",C764=""),"",(C765-C764)/60)</x:f>
      </x:c>
      <x:c r="G765" s="44" t="str">
        <x:f>IF(D765="","",EXP(-Configuracion!$B$4/Configuracion!$B$5*(1/AVERAGE(E764:E765)-1/(Configuracion!$B$3+273.15))))</x:f>
      </x:c>
      <x:c r="H765" s="44" t="str">
        <x:f>IF(D765="","",F765*G765)</x:f>
      </x:c>
      <x:c r="I765" s="44" t="str">
        <x:f>IF(D765="","",I764+H765)</x:f>
      </x:c>
      <x:c r="J765" s="46" t="str">
        <x:f>IF(D765="","",MIN(1,I765/Configuracion!$B$11))</x:f>
      </x:c>
      <x:c r="K765" s="48" t="str">
        <x:f>IF(D765="","",MAX(0,(Configuracion!$B$11-I765)/G765))</x:f>
      </x:c>
      <x:c r="L765" s="73" t="str">
        <x:f>IF(D765="","",C765+K765*60)</x:f>
      </x:c>
      <x:c r="M765" t="str">
        <x:f>IF(D765="","",IF(J765&gt;=Configuracion!$B$13,"DESLIZAR",IF(J765&gt;=Configuracion!$B$12,"PREPARARSE","NO DESLIZAR")))</x:f>
      </x:c>
      <x:c r="N765" s="41" t="str">
        <x:f>IF(D765="","",D765-$D$8)</x:f>
      </x:c>
      <x:c r="O765" s="46" t="str">
        <x:f>IF(D765="","",MAX(0,MIN(1,N765/Configuracion!$B$10)))</x:f>
      </x:c>
    </x:row>
    <x:row r="766">
      <x:c r="A766" s="34"/>
      <x:c r="B766" s="36"/>
      <x:c r="C766" s="72"/>
      <x:c r="D766" s="71"/>
      <x:c r="E766" s="41" t="str">
        <x:f>IF(D766="","",D766+273.15)</x:f>
      </x:c>
      <x:c r="F766" s="44" t="str">
        <x:f>IF(OR(C766="",D766="",C765=""),"",(C766-C765)/60)</x:f>
      </x:c>
      <x:c r="G766" s="44" t="str">
        <x:f>IF(D766="","",EXP(-Configuracion!$B$4/Configuracion!$B$5*(1/AVERAGE(E765:E766)-1/(Configuracion!$B$3+273.15))))</x:f>
      </x:c>
      <x:c r="H766" s="44" t="str">
        <x:f>IF(D766="","",F766*G766)</x:f>
      </x:c>
      <x:c r="I766" s="44" t="str">
        <x:f>IF(D766="","",I765+H766)</x:f>
      </x:c>
      <x:c r="J766" s="46" t="str">
        <x:f>IF(D766="","",MIN(1,I766/Configuracion!$B$11))</x:f>
      </x:c>
      <x:c r="K766" s="48" t="str">
        <x:f>IF(D766="","",MAX(0,(Configuracion!$B$11-I766)/G766))</x:f>
      </x:c>
      <x:c r="L766" s="73" t="str">
        <x:f>IF(D766="","",C766+K766*60)</x:f>
      </x:c>
      <x:c r="M766" t="str">
        <x:f>IF(D766="","",IF(J766&gt;=Configuracion!$B$13,"DESLIZAR",IF(J766&gt;=Configuracion!$B$12,"PREPARARSE","NO DESLIZAR")))</x:f>
      </x:c>
      <x:c r="N766" s="41" t="str">
        <x:f>IF(D766="","",D766-$D$8)</x:f>
      </x:c>
      <x:c r="O766" s="46" t="str">
        <x:f>IF(D766="","",MAX(0,MIN(1,N766/Configuracion!$B$10)))</x:f>
      </x:c>
    </x:row>
    <x:row r="767">
      <x:c r="A767" s="34"/>
      <x:c r="B767" s="36"/>
      <x:c r="C767" s="72"/>
      <x:c r="D767" s="71"/>
      <x:c r="E767" s="41" t="str">
        <x:f>IF(D767="","",D767+273.15)</x:f>
      </x:c>
      <x:c r="F767" s="44" t="str">
        <x:f>IF(OR(C767="",D767="",C766=""),"",(C767-C766)/60)</x:f>
      </x:c>
      <x:c r="G767" s="44" t="str">
        <x:f>IF(D767="","",EXP(-Configuracion!$B$4/Configuracion!$B$5*(1/AVERAGE(E766:E767)-1/(Configuracion!$B$3+273.15))))</x:f>
      </x:c>
      <x:c r="H767" s="44" t="str">
        <x:f>IF(D767="","",F767*G767)</x:f>
      </x:c>
      <x:c r="I767" s="44" t="str">
        <x:f>IF(D767="","",I766+H767)</x:f>
      </x:c>
      <x:c r="J767" s="46" t="str">
        <x:f>IF(D767="","",MIN(1,I767/Configuracion!$B$11))</x:f>
      </x:c>
      <x:c r="K767" s="48" t="str">
        <x:f>IF(D767="","",MAX(0,(Configuracion!$B$11-I767)/G767))</x:f>
      </x:c>
      <x:c r="L767" s="73" t="str">
        <x:f>IF(D767="","",C767+K767*60)</x:f>
      </x:c>
      <x:c r="M767" t="str">
        <x:f>IF(D767="","",IF(J767&gt;=Configuracion!$B$13,"DESLIZAR",IF(J767&gt;=Configuracion!$B$12,"PREPARARSE","NO DESLIZAR")))</x:f>
      </x:c>
      <x:c r="N767" s="41" t="str">
        <x:f>IF(D767="","",D767-$D$8)</x:f>
      </x:c>
      <x:c r="O767" s="46" t="str">
        <x:f>IF(D767="","",MAX(0,MIN(1,N767/Configuracion!$B$10)))</x:f>
      </x:c>
    </x:row>
    <x:row r="768">
      <x:c r="A768" s="34"/>
      <x:c r="B768" s="36"/>
      <x:c r="C768" s="72"/>
      <x:c r="D768" s="71"/>
      <x:c r="E768" s="41" t="str">
        <x:f>IF(D768="","",D768+273.15)</x:f>
      </x:c>
      <x:c r="F768" s="44" t="str">
        <x:f>IF(OR(C768="",D768="",C767=""),"",(C768-C767)/60)</x:f>
      </x:c>
      <x:c r="G768" s="44" t="str">
        <x:f>IF(D768="","",EXP(-Configuracion!$B$4/Configuracion!$B$5*(1/AVERAGE(E767:E768)-1/(Configuracion!$B$3+273.15))))</x:f>
      </x:c>
      <x:c r="H768" s="44" t="str">
        <x:f>IF(D768="","",F768*G768)</x:f>
      </x:c>
      <x:c r="I768" s="44" t="str">
        <x:f>IF(D768="","",I767+H768)</x:f>
      </x:c>
      <x:c r="J768" s="46" t="str">
        <x:f>IF(D768="","",MIN(1,I768/Configuracion!$B$11))</x:f>
      </x:c>
      <x:c r="K768" s="48" t="str">
        <x:f>IF(D768="","",MAX(0,(Configuracion!$B$11-I768)/G768))</x:f>
      </x:c>
      <x:c r="L768" s="73" t="str">
        <x:f>IF(D768="","",C768+K768*60)</x:f>
      </x:c>
      <x:c r="M768" t="str">
        <x:f>IF(D768="","",IF(J768&gt;=Configuracion!$B$13,"DESLIZAR",IF(J768&gt;=Configuracion!$B$12,"PREPARARSE","NO DESLIZAR")))</x:f>
      </x:c>
      <x:c r="N768" s="41" t="str">
        <x:f>IF(D768="","",D768-$D$8)</x:f>
      </x:c>
      <x:c r="O768" s="46" t="str">
        <x:f>IF(D768="","",MAX(0,MIN(1,N768/Configuracion!$B$10)))</x:f>
      </x:c>
    </x:row>
    <x:row r="769">
      <x:c r="A769" s="34"/>
      <x:c r="B769" s="36"/>
      <x:c r="C769" s="72"/>
      <x:c r="D769" s="71"/>
      <x:c r="E769" s="41" t="str">
        <x:f>IF(D769="","",D769+273.15)</x:f>
      </x:c>
      <x:c r="F769" s="44" t="str">
        <x:f>IF(OR(C769="",D769="",C768=""),"",(C769-C768)/60)</x:f>
      </x:c>
      <x:c r="G769" s="44" t="str">
        <x:f>IF(D769="","",EXP(-Configuracion!$B$4/Configuracion!$B$5*(1/AVERAGE(E768:E769)-1/(Configuracion!$B$3+273.15))))</x:f>
      </x:c>
      <x:c r="H769" s="44" t="str">
        <x:f>IF(D769="","",F769*G769)</x:f>
      </x:c>
      <x:c r="I769" s="44" t="str">
        <x:f>IF(D769="","",I768+H769)</x:f>
      </x:c>
      <x:c r="J769" s="46" t="str">
        <x:f>IF(D769="","",MIN(1,I769/Configuracion!$B$11))</x:f>
      </x:c>
      <x:c r="K769" s="48" t="str">
        <x:f>IF(D769="","",MAX(0,(Configuracion!$B$11-I769)/G769))</x:f>
      </x:c>
      <x:c r="L769" s="73" t="str">
        <x:f>IF(D769="","",C769+K769*60)</x:f>
      </x:c>
      <x:c r="M769" t="str">
        <x:f>IF(D769="","",IF(J769&gt;=Configuracion!$B$13,"DESLIZAR",IF(J769&gt;=Configuracion!$B$12,"PREPARARSE","NO DESLIZAR")))</x:f>
      </x:c>
      <x:c r="N769" s="41" t="str">
        <x:f>IF(D769="","",D769-$D$8)</x:f>
      </x:c>
      <x:c r="O769" s="46" t="str">
        <x:f>IF(D769="","",MAX(0,MIN(1,N769/Configuracion!$B$10)))</x:f>
      </x:c>
    </x:row>
    <x:row r="770">
      <x:c r="A770" s="34"/>
      <x:c r="B770" s="36"/>
      <x:c r="C770" s="72"/>
      <x:c r="D770" s="71"/>
      <x:c r="E770" s="41" t="str">
        <x:f>IF(D770="","",D770+273.15)</x:f>
      </x:c>
      <x:c r="F770" s="44" t="str">
        <x:f>IF(OR(C770="",D770="",C769=""),"",(C770-C769)/60)</x:f>
      </x:c>
      <x:c r="G770" s="44" t="str">
        <x:f>IF(D770="","",EXP(-Configuracion!$B$4/Configuracion!$B$5*(1/AVERAGE(E769:E770)-1/(Configuracion!$B$3+273.15))))</x:f>
      </x:c>
      <x:c r="H770" s="44" t="str">
        <x:f>IF(D770="","",F770*G770)</x:f>
      </x:c>
      <x:c r="I770" s="44" t="str">
        <x:f>IF(D770="","",I769+H770)</x:f>
      </x:c>
      <x:c r="J770" s="46" t="str">
        <x:f>IF(D770="","",MIN(1,I770/Configuracion!$B$11))</x:f>
      </x:c>
      <x:c r="K770" s="48" t="str">
        <x:f>IF(D770="","",MAX(0,(Configuracion!$B$11-I770)/G770))</x:f>
      </x:c>
      <x:c r="L770" s="73" t="str">
        <x:f>IF(D770="","",C770+K770*60)</x:f>
      </x:c>
      <x:c r="M770" t="str">
        <x:f>IF(D770="","",IF(J770&gt;=Configuracion!$B$13,"DESLIZAR",IF(J770&gt;=Configuracion!$B$12,"PREPARARSE","NO DESLIZAR")))</x:f>
      </x:c>
      <x:c r="N770" s="41" t="str">
        <x:f>IF(D770="","",D770-$D$8)</x:f>
      </x:c>
      <x:c r="O770" s="46" t="str">
        <x:f>IF(D770="","",MAX(0,MIN(1,N770/Configuracion!$B$10)))</x:f>
      </x:c>
    </x:row>
    <x:row r="771">
      <x:c r="A771" s="34"/>
      <x:c r="B771" s="36"/>
      <x:c r="C771" s="72"/>
      <x:c r="D771" s="71"/>
      <x:c r="E771" s="41" t="str">
        <x:f>IF(D771="","",D771+273.15)</x:f>
      </x:c>
      <x:c r="F771" s="44" t="str">
        <x:f>IF(OR(C771="",D771="",C770=""),"",(C771-C770)/60)</x:f>
      </x:c>
      <x:c r="G771" s="44" t="str">
        <x:f>IF(D771="","",EXP(-Configuracion!$B$4/Configuracion!$B$5*(1/AVERAGE(E770:E771)-1/(Configuracion!$B$3+273.15))))</x:f>
      </x:c>
      <x:c r="H771" s="44" t="str">
        <x:f>IF(D771="","",F771*G771)</x:f>
      </x:c>
      <x:c r="I771" s="44" t="str">
        <x:f>IF(D771="","",I770+H771)</x:f>
      </x:c>
      <x:c r="J771" s="46" t="str">
        <x:f>IF(D771="","",MIN(1,I771/Configuracion!$B$11))</x:f>
      </x:c>
      <x:c r="K771" s="48" t="str">
        <x:f>IF(D771="","",MAX(0,(Configuracion!$B$11-I771)/G771))</x:f>
      </x:c>
      <x:c r="L771" s="73" t="str">
        <x:f>IF(D771="","",C771+K771*60)</x:f>
      </x:c>
      <x:c r="M771" t="str">
        <x:f>IF(D771="","",IF(J771&gt;=Configuracion!$B$13,"DESLIZAR",IF(J771&gt;=Configuracion!$B$12,"PREPARARSE","NO DESLIZAR")))</x:f>
      </x:c>
      <x:c r="N771" s="41" t="str">
        <x:f>IF(D771="","",D771-$D$8)</x:f>
      </x:c>
      <x:c r="O771" s="46" t="str">
        <x:f>IF(D771="","",MAX(0,MIN(1,N771/Configuracion!$B$10)))</x:f>
      </x:c>
    </x:row>
    <x:row r="772">
      <x:c r="A772" s="34"/>
      <x:c r="B772" s="36"/>
      <x:c r="C772" s="72"/>
      <x:c r="D772" s="71"/>
      <x:c r="E772" s="41" t="str">
        <x:f>IF(D772="","",D772+273.15)</x:f>
      </x:c>
      <x:c r="F772" s="44" t="str">
        <x:f>IF(OR(C772="",D772="",C771=""),"",(C772-C771)/60)</x:f>
      </x:c>
      <x:c r="G772" s="44" t="str">
        <x:f>IF(D772="","",EXP(-Configuracion!$B$4/Configuracion!$B$5*(1/AVERAGE(E771:E772)-1/(Configuracion!$B$3+273.15))))</x:f>
      </x:c>
      <x:c r="H772" s="44" t="str">
        <x:f>IF(D772="","",F772*G772)</x:f>
      </x:c>
      <x:c r="I772" s="44" t="str">
        <x:f>IF(D772="","",I771+H772)</x:f>
      </x:c>
      <x:c r="J772" s="46" t="str">
        <x:f>IF(D772="","",MIN(1,I772/Configuracion!$B$11))</x:f>
      </x:c>
      <x:c r="K772" s="48" t="str">
        <x:f>IF(D772="","",MAX(0,(Configuracion!$B$11-I772)/G772))</x:f>
      </x:c>
      <x:c r="L772" s="73" t="str">
        <x:f>IF(D772="","",C772+K772*60)</x:f>
      </x:c>
      <x:c r="M772" t="str">
        <x:f>IF(D772="","",IF(J772&gt;=Configuracion!$B$13,"DESLIZAR",IF(J772&gt;=Configuracion!$B$12,"PREPARARSE","NO DESLIZAR")))</x:f>
      </x:c>
      <x:c r="N772" s="41" t="str">
        <x:f>IF(D772="","",D772-$D$8)</x:f>
      </x:c>
      <x:c r="O772" s="46" t="str">
        <x:f>IF(D772="","",MAX(0,MIN(1,N772/Configuracion!$B$10)))</x:f>
      </x:c>
    </x:row>
    <x:row r="773">
      <x:c r="A773" s="34"/>
      <x:c r="B773" s="36"/>
      <x:c r="C773" s="72"/>
      <x:c r="D773" s="71"/>
      <x:c r="E773" s="41" t="str">
        <x:f>IF(D773="","",D773+273.15)</x:f>
      </x:c>
      <x:c r="F773" s="44" t="str">
        <x:f>IF(OR(C773="",D773="",C772=""),"",(C773-C772)/60)</x:f>
      </x:c>
      <x:c r="G773" s="44" t="str">
        <x:f>IF(D773="","",EXP(-Configuracion!$B$4/Configuracion!$B$5*(1/AVERAGE(E772:E773)-1/(Configuracion!$B$3+273.15))))</x:f>
      </x:c>
      <x:c r="H773" s="44" t="str">
        <x:f>IF(D773="","",F773*G773)</x:f>
      </x:c>
      <x:c r="I773" s="44" t="str">
        <x:f>IF(D773="","",I772+H773)</x:f>
      </x:c>
      <x:c r="J773" s="46" t="str">
        <x:f>IF(D773="","",MIN(1,I773/Configuracion!$B$11))</x:f>
      </x:c>
      <x:c r="K773" s="48" t="str">
        <x:f>IF(D773="","",MAX(0,(Configuracion!$B$11-I773)/G773))</x:f>
      </x:c>
      <x:c r="L773" s="73" t="str">
        <x:f>IF(D773="","",C773+K773*60)</x:f>
      </x:c>
      <x:c r="M773" t="str">
        <x:f>IF(D773="","",IF(J773&gt;=Configuracion!$B$13,"DESLIZAR",IF(J773&gt;=Configuracion!$B$12,"PREPARARSE","NO DESLIZAR")))</x:f>
      </x:c>
      <x:c r="N773" s="41" t="str">
        <x:f>IF(D773="","",D773-$D$8)</x:f>
      </x:c>
      <x:c r="O773" s="46" t="str">
        <x:f>IF(D773="","",MAX(0,MIN(1,N773/Configuracion!$B$10)))</x:f>
      </x:c>
    </x:row>
    <x:row r="774">
      <x:c r="A774" s="34"/>
      <x:c r="B774" s="36"/>
      <x:c r="C774" s="72"/>
      <x:c r="D774" s="71"/>
      <x:c r="E774" s="41" t="str">
        <x:f>IF(D774="","",D774+273.15)</x:f>
      </x:c>
      <x:c r="F774" s="44" t="str">
        <x:f>IF(OR(C774="",D774="",C773=""),"",(C774-C773)/60)</x:f>
      </x:c>
      <x:c r="G774" s="44" t="str">
        <x:f>IF(D774="","",EXP(-Configuracion!$B$4/Configuracion!$B$5*(1/AVERAGE(E773:E774)-1/(Configuracion!$B$3+273.15))))</x:f>
      </x:c>
      <x:c r="H774" s="44" t="str">
        <x:f>IF(D774="","",F774*G774)</x:f>
      </x:c>
      <x:c r="I774" s="44" t="str">
        <x:f>IF(D774="","",I773+H774)</x:f>
      </x:c>
      <x:c r="J774" s="46" t="str">
        <x:f>IF(D774="","",MIN(1,I774/Configuracion!$B$11))</x:f>
      </x:c>
      <x:c r="K774" s="48" t="str">
        <x:f>IF(D774="","",MAX(0,(Configuracion!$B$11-I774)/G774))</x:f>
      </x:c>
      <x:c r="L774" s="73" t="str">
        <x:f>IF(D774="","",C774+K774*60)</x:f>
      </x:c>
      <x:c r="M774" t="str">
        <x:f>IF(D774="","",IF(J774&gt;=Configuracion!$B$13,"DESLIZAR",IF(J774&gt;=Configuracion!$B$12,"PREPARARSE","NO DESLIZAR")))</x:f>
      </x:c>
      <x:c r="N774" s="41" t="str">
        <x:f>IF(D774="","",D774-$D$8)</x:f>
      </x:c>
      <x:c r="O774" s="46" t="str">
        <x:f>IF(D774="","",MAX(0,MIN(1,N774/Configuracion!$B$10)))</x:f>
      </x:c>
    </x:row>
    <x:row r="775">
      <x:c r="A775" s="34"/>
      <x:c r="B775" s="36"/>
      <x:c r="C775" s="72"/>
      <x:c r="D775" s="71"/>
      <x:c r="E775" s="41" t="str">
        <x:f>IF(D775="","",D775+273.15)</x:f>
      </x:c>
      <x:c r="F775" s="44" t="str">
        <x:f>IF(OR(C775="",D775="",C774=""),"",(C775-C774)/60)</x:f>
      </x:c>
      <x:c r="G775" s="44" t="str">
        <x:f>IF(D775="","",EXP(-Configuracion!$B$4/Configuracion!$B$5*(1/AVERAGE(E774:E775)-1/(Configuracion!$B$3+273.15))))</x:f>
      </x:c>
      <x:c r="H775" s="44" t="str">
        <x:f>IF(D775="","",F775*G775)</x:f>
      </x:c>
      <x:c r="I775" s="44" t="str">
        <x:f>IF(D775="","",I774+H775)</x:f>
      </x:c>
      <x:c r="J775" s="46" t="str">
        <x:f>IF(D775="","",MIN(1,I775/Configuracion!$B$11))</x:f>
      </x:c>
      <x:c r="K775" s="48" t="str">
        <x:f>IF(D775="","",MAX(0,(Configuracion!$B$11-I775)/G775))</x:f>
      </x:c>
      <x:c r="L775" s="73" t="str">
        <x:f>IF(D775="","",C775+K775*60)</x:f>
      </x:c>
      <x:c r="M775" t="str">
        <x:f>IF(D775="","",IF(J775&gt;=Configuracion!$B$13,"DESLIZAR",IF(J775&gt;=Configuracion!$B$12,"PREPARARSE","NO DESLIZAR")))</x:f>
      </x:c>
      <x:c r="N775" s="41" t="str">
        <x:f>IF(D775="","",D775-$D$8)</x:f>
      </x:c>
      <x:c r="O775" s="46" t="str">
        <x:f>IF(D775="","",MAX(0,MIN(1,N775/Configuracion!$B$10)))</x:f>
      </x:c>
    </x:row>
    <x:row r="776">
      <x:c r="A776" s="34"/>
      <x:c r="B776" s="36"/>
      <x:c r="C776" s="72"/>
      <x:c r="D776" s="71"/>
      <x:c r="E776" s="41" t="str">
        <x:f>IF(D776="","",D776+273.15)</x:f>
      </x:c>
      <x:c r="F776" s="44" t="str">
        <x:f>IF(OR(C776="",D776="",C775=""),"",(C776-C775)/60)</x:f>
      </x:c>
      <x:c r="G776" s="44" t="str">
        <x:f>IF(D776="","",EXP(-Configuracion!$B$4/Configuracion!$B$5*(1/AVERAGE(E775:E776)-1/(Configuracion!$B$3+273.15))))</x:f>
      </x:c>
      <x:c r="H776" s="44" t="str">
        <x:f>IF(D776="","",F776*G776)</x:f>
      </x:c>
      <x:c r="I776" s="44" t="str">
        <x:f>IF(D776="","",I775+H776)</x:f>
      </x:c>
      <x:c r="J776" s="46" t="str">
        <x:f>IF(D776="","",MIN(1,I776/Configuracion!$B$11))</x:f>
      </x:c>
      <x:c r="K776" s="48" t="str">
        <x:f>IF(D776="","",MAX(0,(Configuracion!$B$11-I776)/G776))</x:f>
      </x:c>
      <x:c r="L776" s="73" t="str">
        <x:f>IF(D776="","",C776+K776*60)</x:f>
      </x:c>
      <x:c r="M776" t="str">
        <x:f>IF(D776="","",IF(J776&gt;=Configuracion!$B$13,"DESLIZAR",IF(J776&gt;=Configuracion!$B$12,"PREPARARSE","NO DESLIZAR")))</x:f>
      </x:c>
      <x:c r="N776" s="41" t="str">
        <x:f>IF(D776="","",D776-$D$8)</x:f>
      </x:c>
      <x:c r="O776" s="46" t="str">
        <x:f>IF(D776="","",MAX(0,MIN(1,N776/Configuracion!$B$10)))</x:f>
      </x:c>
    </x:row>
    <x:row r="777">
      <x:c r="A777" s="34"/>
      <x:c r="B777" s="36"/>
      <x:c r="C777" s="72"/>
      <x:c r="D777" s="71"/>
      <x:c r="E777" s="41" t="str">
        <x:f>IF(D777="","",D777+273.15)</x:f>
      </x:c>
      <x:c r="F777" s="44" t="str">
        <x:f>IF(OR(C777="",D777="",C776=""),"",(C777-C776)/60)</x:f>
      </x:c>
      <x:c r="G777" s="44" t="str">
        <x:f>IF(D777="","",EXP(-Configuracion!$B$4/Configuracion!$B$5*(1/AVERAGE(E776:E777)-1/(Configuracion!$B$3+273.15))))</x:f>
      </x:c>
      <x:c r="H777" s="44" t="str">
        <x:f>IF(D777="","",F777*G777)</x:f>
      </x:c>
      <x:c r="I777" s="44" t="str">
        <x:f>IF(D777="","",I776+H777)</x:f>
      </x:c>
      <x:c r="J777" s="46" t="str">
        <x:f>IF(D777="","",MIN(1,I777/Configuracion!$B$11))</x:f>
      </x:c>
      <x:c r="K777" s="48" t="str">
        <x:f>IF(D777="","",MAX(0,(Configuracion!$B$11-I777)/G777))</x:f>
      </x:c>
      <x:c r="L777" s="73" t="str">
        <x:f>IF(D777="","",C777+K777*60)</x:f>
      </x:c>
      <x:c r="M777" t="str">
        <x:f>IF(D777="","",IF(J777&gt;=Configuracion!$B$13,"DESLIZAR",IF(J777&gt;=Configuracion!$B$12,"PREPARARSE","NO DESLIZAR")))</x:f>
      </x:c>
      <x:c r="N777" s="41" t="str">
        <x:f>IF(D777="","",D777-$D$8)</x:f>
      </x:c>
      <x:c r="O777" s="46" t="str">
        <x:f>IF(D777="","",MAX(0,MIN(1,N777/Configuracion!$B$10)))</x:f>
      </x:c>
    </x:row>
    <x:row r="778">
      <x:c r="A778" s="34"/>
      <x:c r="B778" s="36"/>
      <x:c r="C778" s="72"/>
      <x:c r="D778" s="71"/>
      <x:c r="E778" s="41" t="str">
        <x:f>IF(D778="","",D778+273.15)</x:f>
      </x:c>
      <x:c r="F778" s="44" t="str">
        <x:f>IF(OR(C778="",D778="",C777=""),"",(C778-C777)/60)</x:f>
      </x:c>
      <x:c r="G778" s="44" t="str">
        <x:f>IF(D778="","",EXP(-Configuracion!$B$4/Configuracion!$B$5*(1/AVERAGE(E777:E778)-1/(Configuracion!$B$3+273.15))))</x:f>
      </x:c>
      <x:c r="H778" s="44" t="str">
        <x:f>IF(D778="","",F778*G778)</x:f>
      </x:c>
      <x:c r="I778" s="44" t="str">
        <x:f>IF(D778="","",I777+H778)</x:f>
      </x:c>
      <x:c r="J778" s="46" t="str">
        <x:f>IF(D778="","",MIN(1,I778/Configuracion!$B$11))</x:f>
      </x:c>
      <x:c r="K778" s="48" t="str">
        <x:f>IF(D778="","",MAX(0,(Configuracion!$B$11-I778)/G778))</x:f>
      </x:c>
      <x:c r="L778" s="73" t="str">
        <x:f>IF(D778="","",C778+K778*60)</x:f>
      </x:c>
      <x:c r="M778" t="str">
        <x:f>IF(D778="","",IF(J778&gt;=Configuracion!$B$13,"DESLIZAR",IF(J778&gt;=Configuracion!$B$12,"PREPARARSE","NO DESLIZAR")))</x:f>
      </x:c>
      <x:c r="N778" s="41" t="str">
        <x:f>IF(D778="","",D778-$D$8)</x:f>
      </x:c>
      <x:c r="O778" s="46" t="str">
        <x:f>IF(D778="","",MAX(0,MIN(1,N778/Configuracion!$B$10)))</x:f>
      </x:c>
    </x:row>
    <x:row r="779">
      <x:c r="A779" s="34"/>
      <x:c r="B779" s="36"/>
      <x:c r="C779" s="72"/>
      <x:c r="D779" s="71"/>
      <x:c r="E779" s="41" t="str">
        <x:f>IF(D779="","",D779+273.15)</x:f>
      </x:c>
      <x:c r="F779" s="44" t="str">
        <x:f>IF(OR(C779="",D779="",C778=""),"",(C779-C778)/60)</x:f>
      </x:c>
      <x:c r="G779" s="44" t="str">
        <x:f>IF(D779="","",EXP(-Configuracion!$B$4/Configuracion!$B$5*(1/AVERAGE(E778:E779)-1/(Configuracion!$B$3+273.15))))</x:f>
      </x:c>
      <x:c r="H779" s="44" t="str">
        <x:f>IF(D779="","",F779*G779)</x:f>
      </x:c>
      <x:c r="I779" s="44" t="str">
        <x:f>IF(D779="","",I778+H779)</x:f>
      </x:c>
      <x:c r="J779" s="46" t="str">
        <x:f>IF(D779="","",MIN(1,I779/Configuracion!$B$11))</x:f>
      </x:c>
      <x:c r="K779" s="48" t="str">
        <x:f>IF(D779="","",MAX(0,(Configuracion!$B$11-I779)/G779))</x:f>
      </x:c>
      <x:c r="L779" s="73" t="str">
        <x:f>IF(D779="","",C779+K779*60)</x:f>
      </x:c>
      <x:c r="M779" t="str">
        <x:f>IF(D779="","",IF(J779&gt;=Configuracion!$B$13,"DESLIZAR",IF(J779&gt;=Configuracion!$B$12,"PREPARARSE","NO DESLIZAR")))</x:f>
      </x:c>
      <x:c r="N779" s="41" t="str">
        <x:f>IF(D779="","",D779-$D$8)</x:f>
      </x:c>
      <x:c r="O779" s="46" t="str">
        <x:f>IF(D779="","",MAX(0,MIN(1,N779/Configuracion!$B$10)))</x:f>
      </x:c>
    </x:row>
    <x:row r="780">
      <x:c r="A780" s="34"/>
      <x:c r="B780" s="36"/>
      <x:c r="C780" s="72"/>
      <x:c r="D780" s="71"/>
      <x:c r="E780" s="41" t="str">
        <x:f>IF(D780="","",D780+273.15)</x:f>
      </x:c>
      <x:c r="F780" s="44" t="str">
        <x:f>IF(OR(C780="",D780="",C779=""),"",(C780-C779)/60)</x:f>
      </x:c>
      <x:c r="G780" s="44" t="str">
        <x:f>IF(D780="","",EXP(-Configuracion!$B$4/Configuracion!$B$5*(1/AVERAGE(E779:E780)-1/(Configuracion!$B$3+273.15))))</x:f>
      </x:c>
      <x:c r="H780" s="44" t="str">
        <x:f>IF(D780="","",F780*G780)</x:f>
      </x:c>
      <x:c r="I780" s="44" t="str">
        <x:f>IF(D780="","",I779+H780)</x:f>
      </x:c>
      <x:c r="J780" s="46" t="str">
        <x:f>IF(D780="","",MIN(1,I780/Configuracion!$B$11))</x:f>
      </x:c>
      <x:c r="K780" s="48" t="str">
        <x:f>IF(D780="","",MAX(0,(Configuracion!$B$11-I780)/G780))</x:f>
      </x:c>
      <x:c r="L780" s="73" t="str">
        <x:f>IF(D780="","",C780+K780*60)</x:f>
      </x:c>
      <x:c r="M780" t="str">
        <x:f>IF(D780="","",IF(J780&gt;=Configuracion!$B$13,"DESLIZAR",IF(J780&gt;=Configuracion!$B$12,"PREPARARSE","NO DESLIZAR")))</x:f>
      </x:c>
      <x:c r="N780" s="41" t="str">
        <x:f>IF(D780="","",D780-$D$8)</x:f>
      </x:c>
      <x:c r="O780" s="46" t="str">
        <x:f>IF(D780="","",MAX(0,MIN(1,N780/Configuracion!$B$10)))</x:f>
      </x:c>
    </x:row>
    <x:row r="781">
      <x:c r="A781" s="34"/>
      <x:c r="B781" s="36"/>
      <x:c r="C781" s="72"/>
      <x:c r="D781" s="71"/>
      <x:c r="E781" s="41" t="str">
        <x:f>IF(D781="","",D781+273.15)</x:f>
      </x:c>
      <x:c r="F781" s="44" t="str">
        <x:f>IF(OR(C781="",D781="",C780=""),"",(C781-C780)/60)</x:f>
      </x:c>
      <x:c r="G781" s="44" t="str">
        <x:f>IF(D781="","",EXP(-Configuracion!$B$4/Configuracion!$B$5*(1/AVERAGE(E780:E781)-1/(Configuracion!$B$3+273.15))))</x:f>
      </x:c>
      <x:c r="H781" s="44" t="str">
        <x:f>IF(D781="","",F781*G781)</x:f>
      </x:c>
      <x:c r="I781" s="44" t="str">
        <x:f>IF(D781="","",I780+H781)</x:f>
      </x:c>
      <x:c r="J781" s="46" t="str">
        <x:f>IF(D781="","",MIN(1,I781/Configuracion!$B$11))</x:f>
      </x:c>
      <x:c r="K781" s="48" t="str">
        <x:f>IF(D781="","",MAX(0,(Configuracion!$B$11-I781)/G781))</x:f>
      </x:c>
      <x:c r="L781" s="73" t="str">
        <x:f>IF(D781="","",C781+K781*60)</x:f>
      </x:c>
      <x:c r="M781" t="str">
        <x:f>IF(D781="","",IF(J781&gt;=Configuracion!$B$13,"DESLIZAR",IF(J781&gt;=Configuracion!$B$12,"PREPARARSE","NO DESLIZAR")))</x:f>
      </x:c>
      <x:c r="N781" s="41" t="str">
        <x:f>IF(D781="","",D781-$D$8)</x:f>
      </x:c>
      <x:c r="O781" s="46" t="str">
        <x:f>IF(D781="","",MAX(0,MIN(1,N781/Configuracion!$B$10)))</x:f>
      </x:c>
    </x:row>
    <x:row r="782">
      <x:c r="A782" s="34"/>
      <x:c r="B782" s="36"/>
      <x:c r="C782" s="72"/>
      <x:c r="D782" s="71"/>
      <x:c r="E782" s="41" t="str">
        <x:f>IF(D782="","",D782+273.15)</x:f>
      </x:c>
      <x:c r="F782" s="44" t="str">
        <x:f>IF(OR(C782="",D782="",C781=""),"",(C782-C781)/60)</x:f>
      </x:c>
      <x:c r="G782" s="44" t="str">
        <x:f>IF(D782="","",EXP(-Configuracion!$B$4/Configuracion!$B$5*(1/AVERAGE(E781:E782)-1/(Configuracion!$B$3+273.15))))</x:f>
      </x:c>
      <x:c r="H782" s="44" t="str">
        <x:f>IF(D782="","",F782*G782)</x:f>
      </x:c>
      <x:c r="I782" s="44" t="str">
        <x:f>IF(D782="","",I781+H782)</x:f>
      </x:c>
      <x:c r="J782" s="46" t="str">
        <x:f>IF(D782="","",MIN(1,I782/Configuracion!$B$11))</x:f>
      </x:c>
      <x:c r="K782" s="48" t="str">
        <x:f>IF(D782="","",MAX(0,(Configuracion!$B$11-I782)/G782))</x:f>
      </x:c>
      <x:c r="L782" s="73" t="str">
        <x:f>IF(D782="","",C782+K782*60)</x:f>
      </x:c>
      <x:c r="M782" t="str">
        <x:f>IF(D782="","",IF(J782&gt;=Configuracion!$B$13,"DESLIZAR",IF(J782&gt;=Configuracion!$B$12,"PREPARARSE","NO DESLIZAR")))</x:f>
      </x:c>
      <x:c r="N782" s="41" t="str">
        <x:f>IF(D782="","",D782-$D$8)</x:f>
      </x:c>
      <x:c r="O782" s="46" t="str">
        <x:f>IF(D782="","",MAX(0,MIN(1,N782/Configuracion!$B$10)))</x:f>
      </x:c>
    </x:row>
    <x:row r="783">
      <x:c r="A783" s="34"/>
      <x:c r="B783" s="36"/>
      <x:c r="C783" s="72"/>
      <x:c r="D783" s="71"/>
      <x:c r="E783" s="41" t="str">
        <x:f>IF(D783="","",D783+273.15)</x:f>
      </x:c>
      <x:c r="F783" s="44" t="str">
        <x:f>IF(OR(C783="",D783="",C782=""),"",(C783-C782)/60)</x:f>
      </x:c>
      <x:c r="G783" s="44" t="str">
        <x:f>IF(D783="","",EXP(-Configuracion!$B$4/Configuracion!$B$5*(1/AVERAGE(E782:E783)-1/(Configuracion!$B$3+273.15))))</x:f>
      </x:c>
      <x:c r="H783" s="44" t="str">
        <x:f>IF(D783="","",F783*G783)</x:f>
      </x:c>
      <x:c r="I783" s="44" t="str">
        <x:f>IF(D783="","",I782+H783)</x:f>
      </x:c>
      <x:c r="J783" s="46" t="str">
        <x:f>IF(D783="","",MIN(1,I783/Configuracion!$B$11))</x:f>
      </x:c>
      <x:c r="K783" s="48" t="str">
        <x:f>IF(D783="","",MAX(0,(Configuracion!$B$11-I783)/G783))</x:f>
      </x:c>
      <x:c r="L783" s="73" t="str">
        <x:f>IF(D783="","",C783+K783*60)</x:f>
      </x:c>
      <x:c r="M783" t="str">
        <x:f>IF(D783="","",IF(J783&gt;=Configuracion!$B$13,"DESLIZAR",IF(J783&gt;=Configuracion!$B$12,"PREPARARSE","NO DESLIZAR")))</x:f>
      </x:c>
      <x:c r="N783" s="41" t="str">
        <x:f>IF(D783="","",D783-$D$8)</x:f>
      </x:c>
      <x:c r="O783" s="46" t="str">
        <x:f>IF(D783="","",MAX(0,MIN(1,N783/Configuracion!$B$10)))</x:f>
      </x:c>
    </x:row>
    <x:row r="784">
      <x:c r="A784" s="34"/>
      <x:c r="B784" s="36"/>
      <x:c r="C784" s="72"/>
      <x:c r="D784" s="71"/>
      <x:c r="E784" s="41" t="str">
        <x:f>IF(D784="","",D784+273.15)</x:f>
      </x:c>
      <x:c r="F784" s="44" t="str">
        <x:f>IF(OR(C784="",D784="",C783=""),"",(C784-C783)/60)</x:f>
      </x:c>
      <x:c r="G784" s="44" t="str">
        <x:f>IF(D784="","",EXP(-Configuracion!$B$4/Configuracion!$B$5*(1/AVERAGE(E783:E784)-1/(Configuracion!$B$3+273.15))))</x:f>
      </x:c>
      <x:c r="H784" s="44" t="str">
        <x:f>IF(D784="","",F784*G784)</x:f>
      </x:c>
      <x:c r="I784" s="44" t="str">
        <x:f>IF(D784="","",I783+H784)</x:f>
      </x:c>
      <x:c r="J784" s="46" t="str">
        <x:f>IF(D784="","",MIN(1,I784/Configuracion!$B$11))</x:f>
      </x:c>
      <x:c r="K784" s="48" t="str">
        <x:f>IF(D784="","",MAX(0,(Configuracion!$B$11-I784)/G784))</x:f>
      </x:c>
      <x:c r="L784" s="73" t="str">
        <x:f>IF(D784="","",C784+K784*60)</x:f>
      </x:c>
      <x:c r="M784" t="str">
        <x:f>IF(D784="","",IF(J784&gt;=Configuracion!$B$13,"DESLIZAR",IF(J784&gt;=Configuracion!$B$12,"PREPARARSE","NO DESLIZAR")))</x:f>
      </x:c>
      <x:c r="N784" s="41" t="str">
        <x:f>IF(D784="","",D784-$D$8)</x:f>
      </x:c>
      <x:c r="O784" s="46" t="str">
        <x:f>IF(D784="","",MAX(0,MIN(1,N784/Configuracion!$B$10)))</x:f>
      </x:c>
    </x:row>
    <x:row r="785">
      <x:c r="A785" s="34"/>
      <x:c r="B785" s="36"/>
      <x:c r="C785" s="72"/>
      <x:c r="D785" s="71"/>
      <x:c r="E785" s="41" t="str">
        <x:f>IF(D785="","",D785+273.15)</x:f>
      </x:c>
      <x:c r="F785" s="44" t="str">
        <x:f>IF(OR(C785="",D785="",C784=""),"",(C785-C784)/60)</x:f>
      </x:c>
      <x:c r="G785" s="44" t="str">
        <x:f>IF(D785="","",EXP(-Configuracion!$B$4/Configuracion!$B$5*(1/AVERAGE(E784:E785)-1/(Configuracion!$B$3+273.15))))</x:f>
      </x:c>
      <x:c r="H785" s="44" t="str">
        <x:f>IF(D785="","",F785*G785)</x:f>
      </x:c>
      <x:c r="I785" s="44" t="str">
        <x:f>IF(D785="","",I784+H785)</x:f>
      </x:c>
      <x:c r="J785" s="46" t="str">
        <x:f>IF(D785="","",MIN(1,I785/Configuracion!$B$11))</x:f>
      </x:c>
      <x:c r="K785" s="48" t="str">
        <x:f>IF(D785="","",MAX(0,(Configuracion!$B$11-I785)/G785))</x:f>
      </x:c>
      <x:c r="L785" s="73" t="str">
        <x:f>IF(D785="","",C785+K785*60)</x:f>
      </x:c>
      <x:c r="M785" t="str">
        <x:f>IF(D785="","",IF(J785&gt;=Configuracion!$B$13,"DESLIZAR",IF(J785&gt;=Configuracion!$B$12,"PREPARARSE","NO DESLIZAR")))</x:f>
      </x:c>
      <x:c r="N785" s="41" t="str">
        <x:f>IF(D785="","",D785-$D$8)</x:f>
      </x:c>
      <x:c r="O785" s="46" t="str">
        <x:f>IF(D785="","",MAX(0,MIN(1,N785/Configuracion!$B$10)))</x:f>
      </x:c>
    </x:row>
    <x:row r="786">
      <x:c r="A786" s="34"/>
      <x:c r="B786" s="36"/>
      <x:c r="C786" s="72"/>
      <x:c r="D786" s="71"/>
      <x:c r="E786" s="41" t="str">
        <x:f>IF(D786="","",D786+273.15)</x:f>
      </x:c>
      <x:c r="F786" s="44" t="str">
        <x:f>IF(OR(C786="",D786="",C785=""),"",(C786-C785)/60)</x:f>
      </x:c>
      <x:c r="G786" s="44" t="str">
        <x:f>IF(D786="","",EXP(-Configuracion!$B$4/Configuracion!$B$5*(1/AVERAGE(E785:E786)-1/(Configuracion!$B$3+273.15))))</x:f>
      </x:c>
      <x:c r="H786" s="44" t="str">
        <x:f>IF(D786="","",F786*G786)</x:f>
      </x:c>
      <x:c r="I786" s="44" t="str">
        <x:f>IF(D786="","",I785+H786)</x:f>
      </x:c>
      <x:c r="J786" s="46" t="str">
        <x:f>IF(D786="","",MIN(1,I786/Configuracion!$B$11))</x:f>
      </x:c>
      <x:c r="K786" s="48" t="str">
        <x:f>IF(D786="","",MAX(0,(Configuracion!$B$11-I786)/G786))</x:f>
      </x:c>
      <x:c r="L786" s="73" t="str">
        <x:f>IF(D786="","",C786+K786*60)</x:f>
      </x:c>
      <x:c r="M786" t="str">
        <x:f>IF(D786="","",IF(J786&gt;=Configuracion!$B$13,"DESLIZAR",IF(J786&gt;=Configuracion!$B$12,"PREPARARSE","NO DESLIZAR")))</x:f>
      </x:c>
      <x:c r="N786" s="41" t="str">
        <x:f>IF(D786="","",D786-$D$8)</x:f>
      </x:c>
      <x:c r="O786" s="46" t="str">
        <x:f>IF(D786="","",MAX(0,MIN(1,N786/Configuracion!$B$10)))</x:f>
      </x:c>
    </x:row>
    <x:row r="787">
      <x:c r="A787" s="34"/>
      <x:c r="B787" s="36"/>
      <x:c r="C787" s="72"/>
      <x:c r="D787" s="71"/>
      <x:c r="E787" s="41" t="str">
        <x:f>IF(D787="","",D787+273.15)</x:f>
      </x:c>
      <x:c r="F787" s="44" t="str">
        <x:f>IF(OR(C787="",D787="",C786=""),"",(C787-C786)/60)</x:f>
      </x:c>
      <x:c r="G787" s="44" t="str">
        <x:f>IF(D787="","",EXP(-Configuracion!$B$4/Configuracion!$B$5*(1/AVERAGE(E786:E787)-1/(Configuracion!$B$3+273.15))))</x:f>
      </x:c>
      <x:c r="H787" s="44" t="str">
        <x:f>IF(D787="","",F787*G787)</x:f>
      </x:c>
      <x:c r="I787" s="44" t="str">
        <x:f>IF(D787="","",I786+H787)</x:f>
      </x:c>
      <x:c r="J787" s="46" t="str">
        <x:f>IF(D787="","",MIN(1,I787/Configuracion!$B$11))</x:f>
      </x:c>
      <x:c r="K787" s="48" t="str">
        <x:f>IF(D787="","",MAX(0,(Configuracion!$B$11-I787)/G787))</x:f>
      </x:c>
      <x:c r="L787" s="73" t="str">
        <x:f>IF(D787="","",C787+K787*60)</x:f>
      </x:c>
      <x:c r="M787" t="str">
        <x:f>IF(D787="","",IF(J787&gt;=Configuracion!$B$13,"DESLIZAR",IF(J787&gt;=Configuracion!$B$12,"PREPARARSE","NO DESLIZAR")))</x:f>
      </x:c>
      <x:c r="N787" s="41" t="str">
        <x:f>IF(D787="","",D787-$D$8)</x:f>
      </x:c>
      <x:c r="O787" s="46" t="str">
        <x:f>IF(D787="","",MAX(0,MIN(1,N787/Configuracion!$B$10)))</x:f>
      </x:c>
    </x:row>
    <x:row r="788">
      <x:c r="A788" s="34"/>
      <x:c r="B788" s="36"/>
      <x:c r="C788" s="72"/>
      <x:c r="D788" s="71"/>
      <x:c r="E788" s="41" t="str">
        <x:f>IF(D788="","",D788+273.15)</x:f>
      </x:c>
      <x:c r="F788" s="44" t="str">
        <x:f>IF(OR(C788="",D788="",C787=""),"",(C788-C787)/60)</x:f>
      </x:c>
      <x:c r="G788" s="44" t="str">
        <x:f>IF(D788="","",EXP(-Configuracion!$B$4/Configuracion!$B$5*(1/AVERAGE(E787:E788)-1/(Configuracion!$B$3+273.15))))</x:f>
      </x:c>
      <x:c r="H788" s="44" t="str">
        <x:f>IF(D788="","",F788*G788)</x:f>
      </x:c>
      <x:c r="I788" s="44" t="str">
        <x:f>IF(D788="","",I787+H788)</x:f>
      </x:c>
      <x:c r="J788" s="46" t="str">
        <x:f>IF(D788="","",MIN(1,I788/Configuracion!$B$11))</x:f>
      </x:c>
      <x:c r="K788" s="48" t="str">
        <x:f>IF(D788="","",MAX(0,(Configuracion!$B$11-I788)/G788))</x:f>
      </x:c>
      <x:c r="L788" s="73" t="str">
        <x:f>IF(D788="","",C788+K788*60)</x:f>
      </x:c>
      <x:c r="M788" t="str">
        <x:f>IF(D788="","",IF(J788&gt;=Configuracion!$B$13,"DESLIZAR",IF(J788&gt;=Configuracion!$B$12,"PREPARARSE","NO DESLIZAR")))</x:f>
      </x:c>
      <x:c r="N788" s="41" t="str">
        <x:f>IF(D788="","",D788-$D$8)</x:f>
      </x:c>
      <x:c r="O788" s="46" t="str">
        <x:f>IF(D788="","",MAX(0,MIN(1,N788/Configuracion!$B$10)))</x:f>
      </x:c>
    </x:row>
    <x:row r="789">
      <x:c r="A789" s="34"/>
      <x:c r="B789" s="36"/>
      <x:c r="C789" s="72"/>
      <x:c r="D789" s="71"/>
      <x:c r="E789" s="41" t="str">
        <x:f>IF(D789="","",D789+273.15)</x:f>
      </x:c>
      <x:c r="F789" s="44" t="str">
        <x:f>IF(OR(C789="",D789="",C788=""),"",(C789-C788)/60)</x:f>
      </x:c>
      <x:c r="G789" s="44" t="str">
        <x:f>IF(D789="","",EXP(-Configuracion!$B$4/Configuracion!$B$5*(1/AVERAGE(E788:E789)-1/(Configuracion!$B$3+273.15))))</x:f>
      </x:c>
      <x:c r="H789" s="44" t="str">
        <x:f>IF(D789="","",F789*G789)</x:f>
      </x:c>
      <x:c r="I789" s="44" t="str">
        <x:f>IF(D789="","",I788+H789)</x:f>
      </x:c>
      <x:c r="J789" s="46" t="str">
        <x:f>IF(D789="","",MIN(1,I789/Configuracion!$B$11))</x:f>
      </x:c>
      <x:c r="K789" s="48" t="str">
        <x:f>IF(D789="","",MAX(0,(Configuracion!$B$11-I789)/G789))</x:f>
      </x:c>
      <x:c r="L789" s="73" t="str">
        <x:f>IF(D789="","",C789+K789*60)</x:f>
      </x:c>
      <x:c r="M789" t="str">
        <x:f>IF(D789="","",IF(J789&gt;=Configuracion!$B$13,"DESLIZAR",IF(J789&gt;=Configuracion!$B$12,"PREPARARSE","NO DESLIZAR")))</x:f>
      </x:c>
      <x:c r="N789" s="41" t="str">
        <x:f>IF(D789="","",D789-$D$8)</x:f>
      </x:c>
      <x:c r="O789" s="46" t="str">
        <x:f>IF(D789="","",MAX(0,MIN(1,N789/Configuracion!$B$10)))</x:f>
      </x:c>
    </x:row>
    <x:row r="790">
      <x:c r="A790" s="34"/>
      <x:c r="B790" s="36"/>
      <x:c r="C790" s="72"/>
      <x:c r="D790" s="71"/>
      <x:c r="E790" s="41" t="str">
        <x:f>IF(D790="","",D790+273.15)</x:f>
      </x:c>
      <x:c r="F790" s="44" t="str">
        <x:f>IF(OR(C790="",D790="",C789=""),"",(C790-C789)/60)</x:f>
      </x:c>
      <x:c r="G790" s="44" t="str">
        <x:f>IF(D790="","",EXP(-Configuracion!$B$4/Configuracion!$B$5*(1/AVERAGE(E789:E790)-1/(Configuracion!$B$3+273.15))))</x:f>
      </x:c>
      <x:c r="H790" s="44" t="str">
        <x:f>IF(D790="","",F790*G790)</x:f>
      </x:c>
      <x:c r="I790" s="44" t="str">
        <x:f>IF(D790="","",I789+H790)</x:f>
      </x:c>
      <x:c r="J790" s="46" t="str">
        <x:f>IF(D790="","",MIN(1,I790/Configuracion!$B$11))</x:f>
      </x:c>
      <x:c r="K790" s="48" t="str">
        <x:f>IF(D790="","",MAX(0,(Configuracion!$B$11-I790)/G790))</x:f>
      </x:c>
      <x:c r="L790" s="73" t="str">
        <x:f>IF(D790="","",C790+K790*60)</x:f>
      </x:c>
      <x:c r="M790" t="str">
        <x:f>IF(D790="","",IF(J790&gt;=Configuracion!$B$13,"DESLIZAR",IF(J790&gt;=Configuracion!$B$12,"PREPARARSE","NO DESLIZAR")))</x:f>
      </x:c>
      <x:c r="N790" s="41" t="str">
        <x:f>IF(D790="","",D790-$D$8)</x:f>
      </x:c>
      <x:c r="O790" s="46" t="str">
        <x:f>IF(D790="","",MAX(0,MIN(1,N790/Configuracion!$B$10)))</x:f>
      </x:c>
    </x:row>
    <x:row r="791">
      <x:c r="A791" s="34"/>
      <x:c r="B791" s="36"/>
      <x:c r="C791" s="72"/>
      <x:c r="D791" s="71"/>
      <x:c r="E791" s="41" t="str">
        <x:f>IF(D791="","",D791+273.15)</x:f>
      </x:c>
      <x:c r="F791" s="44" t="str">
        <x:f>IF(OR(C791="",D791="",C790=""),"",(C791-C790)/60)</x:f>
      </x:c>
      <x:c r="G791" s="44" t="str">
        <x:f>IF(D791="","",EXP(-Configuracion!$B$4/Configuracion!$B$5*(1/AVERAGE(E790:E791)-1/(Configuracion!$B$3+273.15))))</x:f>
      </x:c>
      <x:c r="H791" s="44" t="str">
        <x:f>IF(D791="","",F791*G791)</x:f>
      </x:c>
      <x:c r="I791" s="44" t="str">
        <x:f>IF(D791="","",I790+H791)</x:f>
      </x:c>
      <x:c r="J791" s="46" t="str">
        <x:f>IF(D791="","",MIN(1,I791/Configuracion!$B$11))</x:f>
      </x:c>
      <x:c r="K791" s="48" t="str">
        <x:f>IF(D791="","",MAX(0,(Configuracion!$B$11-I791)/G791))</x:f>
      </x:c>
      <x:c r="L791" s="73" t="str">
        <x:f>IF(D791="","",C791+K791*60)</x:f>
      </x:c>
      <x:c r="M791" t="str">
        <x:f>IF(D791="","",IF(J791&gt;=Configuracion!$B$13,"DESLIZAR",IF(J791&gt;=Configuracion!$B$12,"PREPARARSE","NO DESLIZAR")))</x:f>
      </x:c>
      <x:c r="N791" s="41" t="str">
        <x:f>IF(D791="","",D791-$D$8)</x:f>
      </x:c>
      <x:c r="O791" s="46" t="str">
        <x:f>IF(D791="","",MAX(0,MIN(1,N791/Configuracion!$B$10)))</x:f>
      </x:c>
    </x:row>
    <x:row r="792">
      <x:c r="A792" s="34"/>
      <x:c r="B792" s="36"/>
      <x:c r="C792" s="72"/>
      <x:c r="D792" s="71"/>
      <x:c r="E792" s="41" t="str">
        <x:f>IF(D792="","",D792+273.15)</x:f>
      </x:c>
      <x:c r="F792" s="44" t="str">
        <x:f>IF(OR(C792="",D792="",C791=""),"",(C792-C791)/60)</x:f>
      </x:c>
      <x:c r="G792" s="44" t="str">
        <x:f>IF(D792="","",EXP(-Configuracion!$B$4/Configuracion!$B$5*(1/AVERAGE(E791:E792)-1/(Configuracion!$B$3+273.15))))</x:f>
      </x:c>
      <x:c r="H792" s="44" t="str">
        <x:f>IF(D792="","",F792*G792)</x:f>
      </x:c>
      <x:c r="I792" s="44" t="str">
        <x:f>IF(D792="","",I791+H792)</x:f>
      </x:c>
      <x:c r="J792" s="46" t="str">
        <x:f>IF(D792="","",MIN(1,I792/Configuracion!$B$11))</x:f>
      </x:c>
      <x:c r="K792" s="48" t="str">
        <x:f>IF(D792="","",MAX(0,(Configuracion!$B$11-I792)/G792))</x:f>
      </x:c>
      <x:c r="L792" s="73" t="str">
        <x:f>IF(D792="","",C792+K792*60)</x:f>
      </x:c>
      <x:c r="M792" t="str">
        <x:f>IF(D792="","",IF(J792&gt;=Configuracion!$B$13,"DESLIZAR",IF(J792&gt;=Configuracion!$B$12,"PREPARARSE","NO DESLIZAR")))</x:f>
      </x:c>
      <x:c r="N792" s="41" t="str">
        <x:f>IF(D792="","",D792-$D$8)</x:f>
      </x:c>
      <x:c r="O792" s="46" t="str">
        <x:f>IF(D792="","",MAX(0,MIN(1,N792/Configuracion!$B$10)))</x:f>
      </x:c>
    </x:row>
    <x:row r="793">
      <x:c r="A793" s="34"/>
      <x:c r="B793" s="36"/>
      <x:c r="C793" s="72"/>
      <x:c r="D793" s="71"/>
      <x:c r="E793" s="41" t="str">
        <x:f>IF(D793="","",D793+273.15)</x:f>
      </x:c>
      <x:c r="F793" s="44" t="str">
        <x:f>IF(OR(C793="",D793="",C792=""),"",(C793-C792)/60)</x:f>
      </x:c>
      <x:c r="G793" s="44" t="str">
        <x:f>IF(D793="","",EXP(-Configuracion!$B$4/Configuracion!$B$5*(1/AVERAGE(E792:E793)-1/(Configuracion!$B$3+273.15))))</x:f>
      </x:c>
      <x:c r="H793" s="44" t="str">
        <x:f>IF(D793="","",F793*G793)</x:f>
      </x:c>
      <x:c r="I793" s="44" t="str">
        <x:f>IF(D793="","",I792+H793)</x:f>
      </x:c>
      <x:c r="J793" s="46" t="str">
        <x:f>IF(D793="","",MIN(1,I793/Configuracion!$B$11))</x:f>
      </x:c>
      <x:c r="K793" s="48" t="str">
        <x:f>IF(D793="","",MAX(0,(Configuracion!$B$11-I793)/G793))</x:f>
      </x:c>
      <x:c r="L793" s="73" t="str">
        <x:f>IF(D793="","",C793+K793*60)</x:f>
      </x:c>
      <x:c r="M793" t="str">
        <x:f>IF(D793="","",IF(J793&gt;=Configuracion!$B$13,"DESLIZAR",IF(J793&gt;=Configuracion!$B$12,"PREPARARSE","NO DESLIZAR")))</x:f>
      </x:c>
      <x:c r="N793" s="41" t="str">
        <x:f>IF(D793="","",D793-$D$8)</x:f>
      </x:c>
      <x:c r="O793" s="46" t="str">
        <x:f>IF(D793="","",MAX(0,MIN(1,N793/Configuracion!$B$10)))</x:f>
      </x:c>
    </x:row>
    <x:row r="794">
      <x:c r="A794" s="34"/>
      <x:c r="B794" s="36"/>
      <x:c r="C794" s="72"/>
      <x:c r="D794" s="71"/>
      <x:c r="E794" s="41" t="str">
        <x:f>IF(D794="","",D794+273.15)</x:f>
      </x:c>
      <x:c r="F794" s="44" t="str">
        <x:f>IF(OR(C794="",D794="",C793=""),"",(C794-C793)/60)</x:f>
      </x:c>
      <x:c r="G794" s="44" t="str">
        <x:f>IF(D794="","",EXP(-Configuracion!$B$4/Configuracion!$B$5*(1/AVERAGE(E793:E794)-1/(Configuracion!$B$3+273.15))))</x:f>
      </x:c>
      <x:c r="H794" s="44" t="str">
        <x:f>IF(D794="","",F794*G794)</x:f>
      </x:c>
      <x:c r="I794" s="44" t="str">
        <x:f>IF(D794="","",I793+H794)</x:f>
      </x:c>
      <x:c r="J794" s="46" t="str">
        <x:f>IF(D794="","",MIN(1,I794/Configuracion!$B$11))</x:f>
      </x:c>
      <x:c r="K794" s="48" t="str">
        <x:f>IF(D794="","",MAX(0,(Configuracion!$B$11-I794)/G794))</x:f>
      </x:c>
      <x:c r="L794" s="73" t="str">
        <x:f>IF(D794="","",C794+K794*60)</x:f>
      </x:c>
      <x:c r="M794" t="str">
        <x:f>IF(D794="","",IF(J794&gt;=Configuracion!$B$13,"DESLIZAR",IF(J794&gt;=Configuracion!$B$12,"PREPARARSE","NO DESLIZAR")))</x:f>
      </x:c>
      <x:c r="N794" s="41" t="str">
        <x:f>IF(D794="","",D794-$D$8)</x:f>
      </x:c>
      <x:c r="O794" s="46" t="str">
        <x:f>IF(D794="","",MAX(0,MIN(1,N794/Configuracion!$B$10)))</x:f>
      </x:c>
    </x:row>
    <x:row r="795">
      <x:c r="A795" s="34"/>
      <x:c r="B795" s="36"/>
      <x:c r="C795" s="72"/>
      <x:c r="D795" s="71"/>
      <x:c r="E795" s="41" t="str">
        <x:f>IF(D795="","",D795+273.15)</x:f>
      </x:c>
      <x:c r="F795" s="44" t="str">
        <x:f>IF(OR(C795="",D795="",C794=""),"",(C795-C794)/60)</x:f>
      </x:c>
      <x:c r="G795" s="44" t="str">
        <x:f>IF(D795="","",EXP(-Configuracion!$B$4/Configuracion!$B$5*(1/AVERAGE(E794:E795)-1/(Configuracion!$B$3+273.15))))</x:f>
      </x:c>
      <x:c r="H795" s="44" t="str">
        <x:f>IF(D795="","",F795*G795)</x:f>
      </x:c>
      <x:c r="I795" s="44" t="str">
        <x:f>IF(D795="","",I794+H795)</x:f>
      </x:c>
      <x:c r="J795" s="46" t="str">
        <x:f>IF(D795="","",MIN(1,I795/Configuracion!$B$11))</x:f>
      </x:c>
      <x:c r="K795" s="48" t="str">
        <x:f>IF(D795="","",MAX(0,(Configuracion!$B$11-I795)/G795))</x:f>
      </x:c>
      <x:c r="L795" s="73" t="str">
        <x:f>IF(D795="","",C795+K795*60)</x:f>
      </x:c>
      <x:c r="M795" t="str">
        <x:f>IF(D795="","",IF(J795&gt;=Configuracion!$B$13,"DESLIZAR",IF(J795&gt;=Configuracion!$B$12,"PREPARARSE","NO DESLIZAR")))</x:f>
      </x:c>
      <x:c r="N795" s="41" t="str">
        <x:f>IF(D795="","",D795-$D$8)</x:f>
      </x:c>
      <x:c r="O795" s="46" t="str">
        <x:f>IF(D795="","",MAX(0,MIN(1,N795/Configuracion!$B$10)))</x:f>
      </x:c>
    </x:row>
    <x:row r="796">
      <x:c r="A796" s="34"/>
      <x:c r="B796" s="36"/>
      <x:c r="C796" s="72"/>
      <x:c r="D796" s="71"/>
      <x:c r="E796" s="41" t="str">
        <x:f>IF(D796="","",D796+273.15)</x:f>
      </x:c>
      <x:c r="F796" s="44" t="str">
        <x:f>IF(OR(C796="",D796="",C795=""),"",(C796-C795)/60)</x:f>
      </x:c>
      <x:c r="G796" s="44" t="str">
        <x:f>IF(D796="","",EXP(-Configuracion!$B$4/Configuracion!$B$5*(1/AVERAGE(E795:E796)-1/(Configuracion!$B$3+273.15))))</x:f>
      </x:c>
      <x:c r="H796" s="44" t="str">
        <x:f>IF(D796="","",F796*G796)</x:f>
      </x:c>
      <x:c r="I796" s="44" t="str">
        <x:f>IF(D796="","",I795+H796)</x:f>
      </x:c>
      <x:c r="J796" s="46" t="str">
        <x:f>IF(D796="","",MIN(1,I796/Configuracion!$B$11))</x:f>
      </x:c>
      <x:c r="K796" s="48" t="str">
        <x:f>IF(D796="","",MAX(0,(Configuracion!$B$11-I796)/G796))</x:f>
      </x:c>
      <x:c r="L796" s="73" t="str">
        <x:f>IF(D796="","",C796+K796*60)</x:f>
      </x:c>
      <x:c r="M796" t="str">
        <x:f>IF(D796="","",IF(J796&gt;=Configuracion!$B$13,"DESLIZAR",IF(J796&gt;=Configuracion!$B$12,"PREPARARSE","NO DESLIZAR")))</x:f>
      </x:c>
      <x:c r="N796" s="41" t="str">
        <x:f>IF(D796="","",D796-$D$8)</x:f>
      </x:c>
      <x:c r="O796" s="46" t="str">
        <x:f>IF(D796="","",MAX(0,MIN(1,N796/Configuracion!$B$10)))</x:f>
      </x:c>
    </x:row>
    <x:row r="797">
      <x:c r="A797" s="34"/>
      <x:c r="B797" s="36"/>
      <x:c r="C797" s="72"/>
      <x:c r="D797" s="71"/>
      <x:c r="E797" s="41" t="str">
        <x:f>IF(D797="","",D797+273.15)</x:f>
      </x:c>
      <x:c r="F797" s="44" t="str">
        <x:f>IF(OR(C797="",D797="",C796=""),"",(C797-C796)/60)</x:f>
      </x:c>
      <x:c r="G797" s="44" t="str">
        <x:f>IF(D797="","",EXP(-Configuracion!$B$4/Configuracion!$B$5*(1/AVERAGE(E796:E797)-1/(Configuracion!$B$3+273.15))))</x:f>
      </x:c>
      <x:c r="H797" s="44" t="str">
        <x:f>IF(D797="","",F797*G797)</x:f>
      </x:c>
      <x:c r="I797" s="44" t="str">
        <x:f>IF(D797="","",I796+H797)</x:f>
      </x:c>
      <x:c r="J797" s="46" t="str">
        <x:f>IF(D797="","",MIN(1,I797/Configuracion!$B$11))</x:f>
      </x:c>
      <x:c r="K797" s="48" t="str">
        <x:f>IF(D797="","",MAX(0,(Configuracion!$B$11-I797)/G797))</x:f>
      </x:c>
      <x:c r="L797" s="73" t="str">
        <x:f>IF(D797="","",C797+K797*60)</x:f>
      </x:c>
      <x:c r="M797" t="str">
        <x:f>IF(D797="","",IF(J797&gt;=Configuracion!$B$13,"DESLIZAR",IF(J797&gt;=Configuracion!$B$12,"PREPARARSE","NO DESLIZAR")))</x:f>
      </x:c>
      <x:c r="N797" s="41" t="str">
        <x:f>IF(D797="","",D797-$D$8)</x:f>
      </x:c>
      <x:c r="O797" s="46" t="str">
        <x:f>IF(D797="","",MAX(0,MIN(1,N797/Configuracion!$B$10)))</x:f>
      </x:c>
    </x:row>
    <x:row r="798">
      <x:c r="A798" s="34"/>
      <x:c r="B798" s="36"/>
      <x:c r="C798" s="72"/>
      <x:c r="D798" s="71"/>
      <x:c r="E798" s="41" t="str">
        <x:f>IF(D798="","",D798+273.15)</x:f>
      </x:c>
      <x:c r="F798" s="44" t="str">
        <x:f>IF(OR(C798="",D798="",C797=""),"",(C798-C797)/60)</x:f>
      </x:c>
      <x:c r="G798" s="44" t="str">
        <x:f>IF(D798="","",EXP(-Configuracion!$B$4/Configuracion!$B$5*(1/AVERAGE(E797:E798)-1/(Configuracion!$B$3+273.15))))</x:f>
      </x:c>
      <x:c r="H798" s="44" t="str">
        <x:f>IF(D798="","",F798*G798)</x:f>
      </x:c>
      <x:c r="I798" s="44" t="str">
        <x:f>IF(D798="","",I797+H798)</x:f>
      </x:c>
      <x:c r="J798" s="46" t="str">
        <x:f>IF(D798="","",MIN(1,I798/Configuracion!$B$11))</x:f>
      </x:c>
      <x:c r="K798" s="48" t="str">
        <x:f>IF(D798="","",MAX(0,(Configuracion!$B$11-I798)/G798))</x:f>
      </x:c>
      <x:c r="L798" s="73" t="str">
        <x:f>IF(D798="","",C798+K798*60)</x:f>
      </x:c>
      <x:c r="M798" t="str">
        <x:f>IF(D798="","",IF(J798&gt;=Configuracion!$B$13,"DESLIZAR",IF(J798&gt;=Configuracion!$B$12,"PREPARARSE","NO DESLIZAR")))</x:f>
      </x:c>
      <x:c r="N798" s="41" t="str">
        <x:f>IF(D798="","",D798-$D$8)</x:f>
      </x:c>
      <x:c r="O798" s="46" t="str">
        <x:f>IF(D798="","",MAX(0,MIN(1,N798/Configuracion!$B$10)))</x:f>
      </x:c>
    </x:row>
    <x:row r="799">
      <x:c r="A799" s="34"/>
      <x:c r="B799" s="36"/>
      <x:c r="C799" s="72"/>
      <x:c r="D799" s="71"/>
      <x:c r="E799" s="41" t="str">
        <x:f>IF(D799="","",D799+273.15)</x:f>
      </x:c>
      <x:c r="F799" s="44" t="str">
        <x:f>IF(OR(C799="",D799="",C798=""),"",(C799-C798)/60)</x:f>
      </x:c>
      <x:c r="G799" s="44" t="str">
        <x:f>IF(D799="","",EXP(-Configuracion!$B$4/Configuracion!$B$5*(1/AVERAGE(E798:E799)-1/(Configuracion!$B$3+273.15))))</x:f>
      </x:c>
      <x:c r="H799" s="44" t="str">
        <x:f>IF(D799="","",F799*G799)</x:f>
      </x:c>
      <x:c r="I799" s="44" t="str">
        <x:f>IF(D799="","",I798+H799)</x:f>
      </x:c>
      <x:c r="J799" s="46" t="str">
        <x:f>IF(D799="","",MIN(1,I799/Configuracion!$B$11))</x:f>
      </x:c>
      <x:c r="K799" s="48" t="str">
        <x:f>IF(D799="","",MAX(0,(Configuracion!$B$11-I799)/G799))</x:f>
      </x:c>
      <x:c r="L799" s="73" t="str">
        <x:f>IF(D799="","",C799+K799*60)</x:f>
      </x:c>
      <x:c r="M799" t="str">
        <x:f>IF(D799="","",IF(J799&gt;=Configuracion!$B$13,"DESLIZAR",IF(J799&gt;=Configuracion!$B$12,"PREPARARSE","NO DESLIZAR")))</x:f>
      </x:c>
      <x:c r="N799" s="41" t="str">
        <x:f>IF(D799="","",D799-$D$8)</x:f>
      </x:c>
      <x:c r="O799" s="46" t="str">
        <x:f>IF(D799="","",MAX(0,MIN(1,N799/Configuracion!$B$10)))</x:f>
      </x:c>
    </x:row>
    <x:row r="800">
      <x:c r="A800" s="34"/>
      <x:c r="B800" s="36"/>
      <x:c r="C800" s="72"/>
      <x:c r="D800" s="71"/>
      <x:c r="E800" s="41" t="str">
        <x:f>IF(D800="","",D800+273.15)</x:f>
      </x:c>
      <x:c r="F800" s="44" t="str">
        <x:f>IF(OR(C800="",D800="",C799=""),"",(C800-C799)/60)</x:f>
      </x:c>
      <x:c r="G800" s="44" t="str">
        <x:f>IF(D800="","",EXP(-Configuracion!$B$4/Configuracion!$B$5*(1/AVERAGE(E799:E800)-1/(Configuracion!$B$3+273.15))))</x:f>
      </x:c>
      <x:c r="H800" s="44" t="str">
        <x:f>IF(D800="","",F800*G800)</x:f>
      </x:c>
      <x:c r="I800" s="44" t="str">
        <x:f>IF(D800="","",I799+H800)</x:f>
      </x:c>
      <x:c r="J800" s="46" t="str">
        <x:f>IF(D800="","",MIN(1,I800/Configuracion!$B$11))</x:f>
      </x:c>
      <x:c r="K800" s="48" t="str">
        <x:f>IF(D800="","",MAX(0,(Configuracion!$B$11-I800)/G800))</x:f>
      </x:c>
      <x:c r="L800" s="73" t="str">
        <x:f>IF(D800="","",C800+K800*60)</x:f>
      </x:c>
      <x:c r="M800" t="str">
        <x:f>IF(D800="","",IF(J800&gt;=Configuracion!$B$13,"DESLIZAR",IF(J800&gt;=Configuracion!$B$12,"PREPARARSE","NO DESLIZAR")))</x:f>
      </x:c>
      <x:c r="N800" s="41" t="str">
        <x:f>IF(D800="","",D800-$D$8)</x:f>
      </x:c>
      <x:c r="O800" s="46" t="str">
        <x:f>IF(D800="","",MAX(0,MIN(1,N800/Configuracion!$B$10)))</x:f>
      </x:c>
    </x:row>
    <x:row r="801">
      <x:c r="A801" s="34"/>
      <x:c r="B801" s="36"/>
      <x:c r="C801" s="72"/>
      <x:c r="D801" s="71"/>
      <x:c r="E801" s="41" t="str">
        <x:f>IF(D801="","",D801+273.15)</x:f>
      </x:c>
      <x:c r="F801" s="44" t="str">
        <x:f>IF(OR(C801="",D801="",C800=""),"",(C801-C800)/60)</x:f>
      </x:c>
      <x:c r="G801" s="44" t="str">
        <x:f>IF(D801="","",EXP(-Configuracion!$B$4/Configuracion!$B$5*(1/AVERAGE(E800:E801)-1/(Configuracion!$B$3+273.15))))</x:f>
      </x:c>
      <x:c r="H801" s="44" t="str">
        <x:f>IF(D801="","",F801*G801)</x:f>
      </x:c>
      <x:c r="I801" s="44" t="str">
        <x:f>IF(D801="","",I800+H801)</x:f>
      </x:c>
      <x:c r="J801" s="46" t="str">
        <x:f>IF(D801="","",MIN(1,I801/Configuracion!$B$11))</x:f>
      </x:c>
      <x:c r="K801" s="48" t="str">
        <x:f>IF(D801="","",MAX(0,(Configuracion!$B$11-I801)/G801))</x:f>
      </x:c>
      <x:c r="L801" s="73" t="str">
        <x:f>IF(D801="","",C801+K801*60)</x:f>
      </x:c>
      <x:c r="M801" t="str">
        <x:f>IF(D801="","",IF(J801&gt;=Configuracion!$B$13,"DESLIZAR",IF(J801&gt;=Configuracion!$B$12,"PREPARARSE","NO DESLIZAR")))</x:f>
      </x:c>
      <x:c r="N801" s="41" t="str">
        <x:f>IF(D801="","",D801-$D$8)</x:f>
      </x:c>
      <x:c r="O801" s="46" t="str">
        <x:f>IF(D801="","",MAX(0,MIN(1,N801/Configuracion!$B$10)))</x:f>
      </x:c>
    </x:row>
    <x:row r="802">
      <x:c r="A802" s="34"/>
      <x:c r="B802" s="36"/>
      <x:c r="C802" s="72"/>
      <x:c r="D802" s="71"/>
      <x:c r="E802" s="41" t="str">
        <x:f>IF(D802="","",D802+273.15)</x:f>
      </x:c>
      <x:c r="F802" s="44" t="str">
        <x:f>IF(OR(C802="",D802="",C801=""),"",(C802-C801)/60)</x:f>
      </x:c>
      <x:c r="G802" s="44" t="str">
        <x:f>IF(D802="","",EXP(-Configuracion!$B$4/Configuracion!$B$5*(1/AVERAGE(E801:E802)-1/(Configuracion!$B$3+273.15))))</x:f>
      </x:c>
      <x:c r="H802" s="44" t="str">
        <x:f>IF(D802="","",F802*G802)</x:f>
      </x:c>
      <x:c r="I802" s="44" t="str">
        <x:f>IF(D802="","",I801+H802)</x:f>
      </x:c>
      <x:c r="J802" s="46" t="str">
        <x:f>IF(D802="","",MIN(1,I802/Configuracion!$B$11))</x:f>
      </x:c>
      <x:c r="K802" s="48" t="str">
        <x:f>IF(D802="","",MAX(0,(Configuracion!$B$11-I802)/G802))</x:f>
      </x:c>
      <x:c r="L802" s="73" t="str">
        <x:f>IF(D802="","",C802+K802*60)</x:f>
      </x:c>
      <x:c r="M802" t="str">
        <x:f>IF(D802="","",IF(J802&gt;=Configuracion!$B$13,"DESLIZAR",IF(J802&gt;=Configuracion!$B$12,"PREPARARSE","NO DESLIZAR")))</x:f>
      </x:c>
      <x:c r="N802" s="41" t="str">
        <x:f>IF(D802="","",D802-$D$8)</x:f>
      </x:c>
      <x:c r="O802" s="46" t="str">
        <x:f>IF(D802="","",MAX(0,MIN(1,N802/Configuracion!$B$10)))</x:f>
      </x:c>
    </x:row>
    <x:row r="803">
      <x:c r="A803" s="34"/>
      <x:c r="B803" s="36"/>
      <x:c r="C803" s="72"/>
      <x:c r="D803" s="71"/>
      <x:c r="E803" s="41" t="str">
        <x:f>IF(D803="","",D803+273.15)</x:f>
      </x:c>
      <x:c r="F803" s="44" t="str">
        <x:f>IF(OR(C803="",D803="",C802=""),"",(C803-C802)/60)</x:f>
      </x:c>
      <x:c r="G803" s="44" t="str">
        <x:f>IF(D803="","",EXP(-Configuracion!$B$4/Configuracion!$B$5*(1/AVERAGE(E802:E803)-1/(Configuracion!$B$3+273.15))))</x:f>
      </x:c>
      <x:c r="H803" s="44" t="str">
        <x:f>IF(D803="","",F803*G803)</x:f>
      </x:c>
      <x:c r="I803" s="44" t="str">
        <x:f>IF(D803="","",I802+H803)</x:f>
      </x:c>
      <x:c r="J803" s="46" t="str">
        <x:f>IF(D803="","",MIN(1,I803/Configuracion!$B$11))</x:f>
      </x:c>
      <x:c r="K803" s="48" t="str">
        <x:f>IF(D803="","",MAX(0,(Configuracion!$B$11-I803)/G803))</x:f>
      </x:c>
      <x:c r="L803" s="73" t="str">
        <x:f>IF(D803="","",C803+K803*60)</x:f>
      </x:c>
      <x:c r="M803" t="str">
        <x:f>IF(D803="","",IF(J803&gt;=Configuracion!$B$13,"DESLIZAR",IF(J803&gt;=Configuracion!$B$12,"PREPARARSE","NO DESLIZAR")))</x:f>
      </x:c>
      <x:c r="N803" s="41" t="str">
        <x:f>IF(D803="","",D803-$D$8)</x:f>
      </x:c>
      <x:c r="O803" s="46" t="str">
        <x:f>IF(D803="","",MAX(0,MIN(1,N803/Configuracion!$B$10)))</x:f>
      </x:c>
    </x:row>
    <x:row r="804">
      <x:c r="A804" s="34"/>
      <x:c r="B804" s="36"/>
      <x:c r="C804" s="72"/>
      <x:c r="D804" s="71"/>
      <x:c r="E804" s="41" t="str">
        <x:f>IF(D804="","",D804+273.15)</x:f>
      </x:c>
      <x:c r="F804" s="44" t="str">
        <x:f>IF(OR(C804="",D804="",C803=""),"",(C804-C803)/60)</x:f>
      </x:c>
      <x:c r="G804" s="44" t="str">
        <x:f>IF(D804="","",EXP(-Configuracion!$B$4/Configuracion!$B$5*(1/AVERAGE(E803:E804)-1/(Configuracion!$B$3+273.15))))</x:f>
      </x:c>
      <x:c r="H804" s="44" t="str">
        <x:f>IF(D804="","",F804*G804)</x:f>
      </x:c>
      <x:c r="I804" s="44" t="str">
        <x:f>IF(D804="","",I803+H804)</x:f>
      </x:c>
      <x:c r="J804" s="46" t="str">
        <x:f>IF(D804="","",MIN(1,I804/Configuracion!$B$11))</x:f>
      </x:c>
      <x:c r="K804" s="48" t="str">
        <x:f>IF(D804="","",MAX(0,(Configuracion!$B$11-I804)/G804))</x:f>
      </x:c>
      <x:c r="L804" s="73" t="str">
        <x:f>IF(D804="","",C804+K804*60)</x:f>
      </x:c>
      <x:c r="M804" t="str">
        <x:f>IF(D804="","",IF(J804&gt;=Configuracion!$B$13,"DESLIZAR",IF(J804&gt;=Configuracion!$B$12,"PREPARARSE","NO DESLIZAR")))</x:f>
      </x:c>
      <x:c r="N804" s="41" t="str">
        <x:f>IF(D804="","",D804-$D$8)</x:f>
      </x:c>
      <x:c r="O804" s="46" t="str">
        <x:f>IF(D804="","",MAX(0,MIN(1,N804/Configuracion!$B$10)))</x:f>
      </x:c>
    </x:row>
    <x:row r="805">
      <x:c r="A805" s="34"/>
      <x:c r="B805" s="36"/>
      <x:c r="C805" s="72"/>
      <x:c r="D805" s="71"/>
      <x:c r="E805" s="41" t="str">
        <x:f>IF(D805="","",D805+273.15)</x:f>
      </x:c>
      <x:c r="F805" s="44" t="str">
        <x:f>IF(OR(C805="",D805="",C804=""),"",(C805-C804)/60)</x:f>
      </x:c>
      <x:c r="G805" s="44" t="str">
        <x:f>IF(D805="","",EXP(-Configuracion!$B$4/Configuracion!$B$5*(1/AVERAGE(E804:E805)-1/(Configuracion!$B$3+273.15))))</x:f>
      </x:c>
      <x:c r="H805" s="44" t="str">
        <x:f>IF(D805="","",F805*G805)</x:f>
      </x:c>
      <x:c r="I805" s="44" t="str">
        <x:f>IF(D805="","",I804+H805)</x:f>
      </x:c>
      <x:c r="J805" s="46" t="str">
        <x:f>IF(D805="","",MIN(1,I805/Configuracion!$B$11))</x:f>
      </x:c>
      <x:c r="K805" s="48" t="str">
        <x:f>IF(D805="","",MAX(0,(Configuracion!$B$11-I805)/G805))</x:f>
      </x:c>
      <x:c r="L805" s="73" t="str">
        <x:f>IF(D805="","",C805+K805*60)</x:f>
      </x:c>
      <x:c r="M805" t="str">
        <x:f>IF(D805="","",IF(J805&gt;=Configuracion!$B$13,"DESLIZAR",IF(J805&gt;=Configuracion!$B$12,"PREPARARSE","NO DESLIZAR")))</x:f>
      </x:c>
      <x:c r="N805" s="41" t="str">
        <x:f>IF(D805="","",D805-$D$8)</x:f>
      </x:c>
      <x:c r="O805" s="46" t="str">
        <x:f>IF(D805="","",MAX(0,MIN(1,N805/Configuracion!$B$10)))</x:f>
      </x:c>
    </x:row>
    <x:row r="806">
      <x:c r="A806" s="34"/>
      <x:c r="B806" s="36"/>
      <x:c r="C806" s="72"/>
      <x:c r="D806" s="71"/>
      <x:c r="E806" s="41" t="str">
        <x:f>IF(D806="","",D806+273.15)</x:f>
      </x:c>
      <x:c r="F806" s="44" t="str">
        <x:f>IF(OR(C806="",D806="",C805=""),"",(C806-C805)/60)</x:f>
      </x:c>
      <x:c r="G806" s="44" t="str">
        <x:f>IF(D806="","",EXP(-Configuracion!$B$4/Configuracion!$B$5*(1/AVERAGE(E805:E806)-1/(Configuracion!$B$3+273.15))))</x:f>
      </x:c>
      <x:c r="H806" s="44" t="str">
        <x:f>IF(D806="","",F806*G806)</x:f>
      </x:c>
      <x:c r="I806" s="44" t="str">
        <x:f>IF(D806="","",I805+H806)</x:f>
      </x:c>
      <x:c r="J806" s="46" t="str">
        <x:f>IF(D806="","",MIN(1,I806/Configuracion!$B$11))</x:f>
      </x:c>
      <x:c r="K806" s="48" t="str">
        <x:f>IF(D806="","",MAX(0,(Configuracion!$B$11-I806)/G806))</x:f>
      </x:c>
      <x:c r="L806" s="73" t="str">
        <x:f>IF(D806="","",C806+K806*60)</x:f>
      </x:c>
      <x:c r="M806" t="str">
        <x:f>IF(D806="","",IF(J806&gt;=Configuracion!$B$13,"DESLIZAR",IF(J806&gt;=Configuracion!$B$12,"PREPARARSE","NO DESLIZAR")))</x:f>
      </x:c>
      <x:c r="N806" s="41" t="str">
        <x:f>IF(D806="","",D806-$D$8)</x:f>
      </x:c>
      <x:c r="O806" s="46" t="str">
        <x:f>IF(D806="","",MAX(0,MIN(1,N806/Configuracion!$B$10)))</x:f>
      </x:c>
    </x:row>
    <x:row r="807">
      <x:c r="A807" s="34"/>
      <x:c r="B807" s="36"/>
      <x:c r="C807" s="72"/>
      <x:c r="D807" s="71"/>
      <x:c r="E807" s="41" t="str">
        <x:f>IF(D807="","",D807+273.15)</x:f>
      </x:c>
      <x:c r="F807" s="44" t="str">
        <x:f>IF(OR(C807="",D807="",C806=""),"",(C807-C806)/60)</x:f>
      </x:c>
      <x:c r="G807" s="44" t="str">
        <x:f>IF(D807="","",EXP(-Configuracion!$B$4/Configuracion!$B$5*(1/AVERAGE(E806:E807)-1/(Configuracion!$B$3+273.15))))</x:f>
      </x:c>
      <x:c r="H807" s="44" t="str">
        <x:f>IF(D807="","",F807*G807)</x:f>
      </x:c>
      <x:c r="I807" s="44" t="str">
        <x:f>IF(D807="","",I806+H807)</x:f>
      </x:c>
      <x:c r="J807" s="46" t="str">
        <x:f>IF(D807="","",MIN(1,I807/Configuracion!$B$11))</x:f>
      </x:c>
      <x:c r="K807" s="48" t="str">
        <x:f>IF(D807="","",MAX(0,(Configuracion!$B$11-I807)/G807))</x:f>
      </x:c>
      <x:c r="L807" s="73" t="str">
        <x:f>IF(D807="","",C807+K807*60)</x:f>
      </x:c>
      <x:c r="M807" t="str">
        <x:f>IF(D807="","",IF(J807&gt;=Configuracion!$B$13,"DESLIZAR",IF(J807&gt;=Configuracion!$B$12,"PREPARARSE","NO DESLIZAR")))</x:f>
      </x:c>
      <x:c r="N807" s="41" t="str">
        <x:f>IF(D807="","",D807-$D$8)</x:f>
      </x:c>
      <x:c r="O807" s="46" t="str">
        <x:f>IF(D807="","",MAX(0,MIN(1,N807/Configuracion!$B$10)))</x:f>
      </x:c>
    </x:row>
    <x:row r="808">
      <x:c r="A808" s="34"/>
      <x:c r="B808" s="36"/>
      <x:c r="C808" s="72"/>
      <x:c r="D808" s="71"/>
      <x:c r="E808" s="41" t="str">
        <x:f>IF(D808="","",D808+273.15)</x:f>
      </x:c>
      <x:c r="F808" s="44" t="str">
        <x:f>IF(OR(C808="",D808="",C807=""),"",(C808-C807)/60)</x:f>
      </x:c>
      <x:c r="G808" s="44" t="str">
        <x:f>IF(D808="","",EXP(-Configuracion!$B$4/Configuracion!$B$5*(1/AVERAGE(E807:E808)-1/(Configuracion!$B$3+273.15))))</x:f>
      </x:c>
      <x:c r="H808" s="44" t="str">
        <x:f>IF(D808="","",F808*G808)</x:f>
      </x:c>
      <x:c r="I808" s="44" t="str">
        <x:f>IF(D808="","",I807+H808)</x:f>
      </x:c>
      <x:c r="J808" s="46" t="str">
        <x:f>IF(D808="","",MIN(1,I808/Configuracion!$B$11))</x:f>
      </x:c>
      <x:c r="K808" s="48" t="str">
        <x:f>IF(D808="","",MAX(0,(Configuracion!$B$11-I808)/G808))</x:f>
      </x:c>
      <x:c r="L808" s="73" t="str">
        <x:f>IF(D808="","",C808+K808*60)</x:f>
      </x:c>
      <x:c r="M808" t="str">
        <x:f>IF(D808="","",IF(J808&gt;=Configuracion!$B$13,"DESLIZAR",IF(J808&gt;=Configuracion!$B$12,"PREPARARSE","NO DESLIZAR")))</x:f>
      </x:c>
      <x:c r="N808" s="41" t="str">
        <x:f>IF(D808="","",D808-$D$8)</x:f>
      </x:c>
      <x:c r="O808" s="46" t="str">
        <x:f>IF(D808="","",MAX(0,MIN(1,N808/Configuracion!$B$10)))</x:f>
      </x:c>
    </x:row>
    <x:row r="809">
      <x:c r="A809" s="34"/>
      <x:c r="B809" s="36"/>
      <x:c r="C809" s="72"/>
      <x:c r="D809" s="71"/>
      <x:c r="E809" s="41" t="str">
        <x:f>IF(D809="","",D809+273.15)</x:f>
      </x:c>
      <x:c r="F809" s="44" t="str">
        <x:f>IF(OR(C809="",D809="",C808=""),"",(C809-C808)/60)</x:f>
      </x:c>
      <x:c r="G809" s="44" t="str">
        <x:f>IF(D809="","",EXP(-Configuracion!$B$4/Configuracion!$B$5*(1/AVERAGE(E808:E809)-1/(Configuracion!$B$3+273.15))))</x:f>
      </x:c>
      <x:c r="H809" s="44" t="str">
        <x:f>IF(D809="","",F809*G809)</x:f>
      </x:c>
      <x:c r="I809" s="44" t="str">
        <x:f>IF(D809="","",I808+H809)</x:f>
      </x:c>
      <x:c r="J809" s="46" t="str">
        <x:f>IF(D809="","",MIN(1,I809/Configuracion!$B$11))</x:f>
      </x:c>
      <x:c r="K809" s="48" t="str">
        <x:f>IF(D809="","",MAX(0,(Configuracion!$B$11-I809)/G809))</x:f>
      </x:c>
      <x:c r="L809" s="73" t="str">
        <x:f>IF(D809="","",C809+K809*60)</x:f>
      </x:c>
      <x:c r="M809" t="str">
        <x:f>IF(D809="","",IF(J809&gt;=Configuracion!$B$13,"DESLIZAR",IF(J809&gt;=Configuracion!$B$12,"PREPARARSE","NO DESLIZAR")))</x:f>
      </x:c>
      <x:c r="N809" s="41" t="str">
        <x:f>IF(D809="","",D809-$D$8)</x:f>
      </x:c>
      <x:c r="O809" s="46" t="str">
        <x:f>IF(D809="","",MAX(0,MIN(1,N809/Configuracion!$B$10)))</x:f>
      </x:c>
    </x:row>
    <x:row r="810">
      <x:c r="A810" s="34"/>
      <x:c r="B810" s="36"/>
      <x:c r="C810" s="72"/>
      <x:c r="D810" s="71"/>
      <x:c r="E810" s="41" t="str">
        <x:f>IF(D810="","",D810+273.15)</x:f>
      </x:c>
      <x:c r="F810" s="44" t="str">
        <x:f>IF(OR(C810="",D810="",C809=""),"",(C810-C809)/60)</x:f>
      </x:c>
      <x:c r="G810" s="44" t="str">
        <x:f>IF(D810="","",EXP(-Configuracion!$B$4/Configuracion!$B$5*(1/AVERAGE(E809:E810)-1/(Configuracion!$B$3+273.15))))</x:f>
      </x:c>
      <x:c r="H810" s="44" t="str">
        <x:f>IF(D810="","",F810*G810)</x:f>
      </x:c>
      <x:c r="I810" s="44" t="str">
        <x:f>IF(D810="","",I809+H810)</x:f>
      </x:c>
      <x:c r="J810" s="46" t="str">
        <x:f>IF(D810="","",MIN(1,I810/Configuracion!$B$11))</x:f>
      </x:c>
      <x:c r="K810" s="48" t="str">
        <x:f>IF(D810="","",MAX(0,(Configuracion!$B$11-I810)/G810))</x:f>
      </x:c>
      <x:c r="L810" s="73" t="str">
        <x:f>IF(D810="","",C810+K810*60)</x:f>
      </x:c>
      <x:c r="M810" t="str">
        <x:f>IF(D810="","",IF(J810&gt;=Configuracion!$B$13,"DESLIZAR",IF(J810&gt;=Configuracion!$B$12,"PREPARARSE","NO DESLIZAR")))</x:f>
      </x:c>
      <x:c r="N810" s="41" t="str">
        <x:f>IF(D810="","",D810-$D$8)</x:f>
      </x:c>
      <x:c r="O810" s="46" t="str">
        <x:f>IF(D810="","",MAX(0,MIN(1,N810/Configuracion!$B$10)))</x:f>
      </x:c>
    </x:row>
    <x:row r="811">
      <x:c r="A811" s="34"/>
      <x:c r="B811" s="36"/>
      <x:c r="C811" s="72"/>
      <x:c r="D811" s="71"/>
      <x:c r="E811" s="41" t="str">
        <x:f>IF(D811="","",D811+273.15)</x:f>
      </x:c>
      <x:c r="F811" s="44" t="str">
        <x:f>IF(OR(C811="",D811="",C810=""),"",(C811-C810)/60)</x:f>
      </x:c>
      <x:c r="G811" s="44" t="str">
        <x:f>IF(D811="","",EXP(-Configuracion!$B$4/Configuracion!$B$5*(1/AVERAGE(E810:E811)-1/(Configuracion!$B$3+273.15))))</x:f>
      </x:c>
      <x:c r="H811" s="44" t="str">
        <x:f>IF(D811="","",F811*G811)</x:f>
      </x:c>
      <x:c r="I811" s="44" t="str">
        <x:f>IF(D811="","",I810+H811)</x:f>
      </x:c>
      <x:c r="J811" s="46" t="str">
        <x:f>IF(D811="","",MIN(1,I811/Configuracion!$B$11))</x:f>
      </x:c>
      <x:c r="K811" s="48" t="str">
        <x:f>IF(D811="","",MAX(0,(Configuracion!$B$11-I811)/G811))</x:f>
      </x:c>
      <x:c r="L811" s="73" t="str">
        <x:f>IF(D811="","",C811+K811*60)</x:f>
      </x:c>
      <x:c r="M811" t="str">
        <x:f>IF(D811="","",IF(J811&gt;=Configuracion!$B$13,"DESLIZAR",IF(J811&gt;=Configuracion!$B$12,"PREPARARSE","NO DESLIZAR")))</x:f>
      </x:c>
      <x:c r="N811" s="41" t="str">
        <x:f>IF(D811="","",D811-$D$8)</x:f>
      </x:c>
      <x:c r="O811" s="46" t="str">
        <x:f>IF(D811="","",MAX(0,MIN(1,N811/Configuracion!$B$10)))</x:f>
      </x:c>
    </x:row>
    <x:row r="812">
      <x:c r="A812" s="34"/>
      <x:c r="B812" s="36"/>
      <x:c r="C812" s="72"/>
      <x:c r="D812" s="71"/>
      <x:c r="E812" s="41" t="str">
        <x:f>IF(D812="","",D812+273.15)</x:f>
      </x:c>
      <x:c r="F812" s="44" t="str">
        <x:f>IF(OR(C812="",D812="",C811=""),"",(C812-C811)/60)</x:f>
      </x:c>
      <x:c r="G812" s="44" t="str">
        <x:f>IF(D812="","",EXP(-Configuracion!$B$4/Configuracion!$B$5*(1/AVERAGE(E811:E812)-1/(Configuracion!$B$3+273.15))))</x:f>
      </x:c>
      <x:c r="H812" s="44" t="str">
        <x:f>IF(D812="","",F812*G812)</x:f>
      </x:c>
      <x:c r="I812" s="44" t="str">
        <x:f>IF(D812="","",I811+H812)</x:f>
      </x:c>
      <x:c r="J812" s="46" t="str">
        <x:f>IF(D812="","",MIN(1,I812/Configuracion!$B$11))</x:f>
      </x:c>
      <x:c r="K812" s="48" t="str">
        <x:f>IF(D812="","",MAX(0,(Configuracion!$B$11-I812)/G812))</x:f>
      </x:c>
      <x:c r="L812" s="73" t="str">
        <x:f>IF(D812="","",C812+K812*60)</x:f>
      </x:c>
      <x:c r="M812" t="str">
        <x:f>IF(D812="","",IF(J812&gt;=Configuracion!$B$13,"DESLIZAR",IF(J812&gt;=Configuracion!$B$12,"PREPARARSE","NO DESLIZAR")))</x:f>
      </x:c>
      <x:c r="N812" s="41" t="str">
        <x:f>IF(D812="","",D812-$D$8)</x:f>
      </x:c>
      <x:c r="O812" s="46" t="str">
        <x:f>IF(D812="","",MAX(0,MIN(1,N812/Configuracion!$B$10)))</x:f>
      </x:c>
    </x:row>
    <x:row r="813">
      <x:c r="A813" s="34"/>
      <x:c r="B813" s="36"/>
      <x:c r="C813" s="72"/>
      <x:c r="D813" s="71"/>
      <x:c r="E813" s="41" t="str">
        <x:f>IF(D813="","",D813+273.15)</x:f>
      </x:c>
      <x:c r="F813" s="44" t="str">
        <x:f>IF(OR(C813="",D813="",C812=""),"",(C813-C812)/60)</x:f>
      </x:c>
      <x:c r="G813" s="44" t="str">
        <x:f>IF(D813="","",EXP(-Configuracion!$B$4/Configuracion!$B$5*(1/AVERAGE(E812:E813)-1/(Configuracion!$B$3+273.15))))</x:f>
      </x:c>
      <x:c r="H813" s="44" t="str">
        <x:f>IF(D813="","",F813*G813)</x:f>
      </x:c>
      <x:c r="I813" s="44" t="str">
        <x:f>IF(D813="","",I812+H813)</x:f>
      </x:c>
      <x:c r="J813" s="46" t="str">
        <x:f>IF(D813="","",MIN(1,I813/Configuracion!$B$11))</x:f>
      </x:c>
      <x:c r="K813" s="48" t="str">
        <x:f>IF(D813="","",MAX(0,(Configuracion!$B$11-I813)/G813))</x:f>
      </x:c>
      <x:c r="L813" s="73" t="str">
        <x:f>IF(D813="","",C813+K813*60)</x:f>
      </x:c>
      <x:c r="M813" t="str">
        <x:f>IF(D813="","",IF(J813&gt;=Configuracion!$B$13,"DESLIZAR",IF(J813&gt;=Configuracion!$B$12,"PREPARARSE","NO DESLIZAR")))</x:f>
      </x:c>
      <x:c r="N813" s="41" t="str">
        <x:f>IF(D813="","",D813-$D$8)</x:f>
      </x:c>
      <x:c r="O813" s="46" t="str">
        <x:f>IF(D813="","",MAX(0,MIN(1,N813/Configuracion!$B$10)))</x:f>
      </x:c>
    </x:row>
    <x:row r="814">
      <x:c r="A814" s="34"/>
      <x:c r="B814" s="36"/>
      <x:c r="C814" s="72"/>
      <x:c r="D814" s="71"/>
      <x:c r="E814" s="41" t="str">
        <x:f>IF(D814="","",D814+273.15)</x:f>
      </x:c>
      <x:c r="F814" s="44" t="str">
        <x:f>IF(OR(C814="",D814="",C813=""),"",(C814-C813)/60)</x:f>
      </x:c>
      <x:c r="G814" s="44" t="str">
        <x:f>IF(D814="","",EXP(-Configuracion!$B$4/Configuracion!$B$5*(1/AVERAGE(E813:E814)-1/(Configuracion!$B$3+273.15))))</x:f>
      </x:c>
      <x:c r="H814" s="44" t="str">
        <x:f>IF(D814="","",F814*G814)</x:f>
      </x:c>
      <x:c r="I814" s="44" t="str">
        <x:f>IF(D814="","",I813+H814)</x:f>
      </x:c>
      <x:c r="J814" s="46" t="str">
        <x:f>IF(D814="","",MIN(1,I814/Configuracion!$B$11))</x:f>
      </x:c>
      <x:c r="K814" s="48" t="str">
        <x:f>IF(D814="","",MAX(0,(Configuracion!$B$11-I814)/G814))</x:f>
      </x:c>
      <x:c r="L814" s="73" t="str">
        <x:f>IF(D814="","",C814+K814*60)</x:f>
      </x:c>
      <x:c r="M814" t="str">
        <x:f>IF(D814="","",IF(J814&gt;=Configuracion!$B$13,"DESLIZAR",IF(J814&gt;=Configuracion!$B$12,"PREPARARSE","NO DESLIZAR")))</x:f>
      </x:c>
      <x:c r="N814" s="41" t="str">
        <x:f>IF(D814="","",D814-$D$8)</x:f>
      </x:c>
      <x:c r="O814" s="46" t="str">
        <x:f>IF(D814="","",MAX(0,MIN(1,N814/Configuracion!$B$10)))</x:f>
      </x:c>
    </x:row>
    <x:row r="815">
      <x:c r="A815" s="34"/>
      <x:c r="B815" s="36"/>
      <x:c r="C815" s="72"/>
      <x:c r="D815" s="71"/>
      <x:c r="E815" s="41" t="str">
        <x:f>IF(D815="","",D815+273.15)</x:f>
      </x:c>
      <x:c r="F815" s="44" t="str">
        <x:f>IF(OR(C815="",D815="",C814=""),"",(C815-C814)/60)</x:f>
      </x:c>
      <x:c r="G815" s="44" t="str">
        <x:f>IF(D815="","",EXP(-Configuracion!$B$4/Configuracion!$B$5*(1/AVERAGE(E814:E815)-1/(Configuracion!$B$3+273.15))))</x:f>
      </x:c>
      <x:c r="H815" s="44" t="str">
        <x:f>IF(D815="","",F815*G815)</x:f>
      </x:c>
      <x:c r="I815" s="44" t="str">
        <x:f>IF(D815="","",I814+H815)</x:f>
      </x:c>
      <x:c r="J815" s="46" t="str">
        <x:f>IF(D815="","",MIN(1,I815/Configuracion!$B$11))</x:f>
      </x:c>
      <x:c r="K815" s="48" t="str">
        <x:f>IF(D815="","",MAX(0,(Configuracion!$B$11-I815)/G815))</x:f>
      </x:c>
      <x:c r="L815" s="73" t="str">
        <x:f>IF(D815="","",C815+K815*60)</x:f>
      </x:c>
      <x:c r="M815" t="str">
        <x:f>IF(D815="","",IF(J815&gt;=Configuracion!$B$13,"DESLIZAR",IF(J815&gt;=Configuracion!$B$12,"PREPARARSE","NO DESLIZAR")))</x:f>
      </x:c>
      <x:c r="N815" s="41" t="str">
        <x:f>IF(D815="","",D815-$D$8)</x:f>
      </x:c>
      <x:c r="O815" s="46" t="str">
        <x:f>IF(D815="","",MAX(0,MIN(1,N815/Configuracion!$B$10)))</x:f>
      </x:c>
    </x:row>
    <x:row r="816">
      <x:c r="A816" s="34"/>
      <x:c r="B816" s="36"/>
      <x:c r="C816" s="72"/>
      <x:c r="D816" s="71"/>
      <x:c r="E816" s="41" t="str">
        <x:f>IF(D816="","",D816+273.15)</x:f>
      </x:c>
      <x:c r="F816" s="44" t="str">
        <x:f>IF(OR(C816="",D816="",C815=""),"",(C816-C815)/60)</x:f>
      </x:c>
      <x:c r="G816" s="44" t="str">
        <x:f>IF(D816="","",EXP(-Configuracion!$B$4/Configuracion!$B$5*(1/AVERAGE(E815:E816)-1/(Configuracion!$B$3+273.15))))</x:f>
      </x:c>
      <x:c r="H816" s="44" t="str">
        <x:f>IF(D816="","",F816*G816)</x:f>
      </x:c>
      <x:c r="I816" s="44" t="str">
        <x:f>IF(D816="","",I815+H816)</x:f>
      </x:c>
      <x:c r="J816" s="46" t="str">
        <x:f>IF(D816="","",MIN(1,I816/Configuracion!$B$11))</x:f>
      </x:c>
      <x:c r="K816" s="48" t="str">
        <x:f>IF(D816="","",MAX(0,(Configuracion!$B$11-I816)/G816))</x:f>
      </x:c>
      <x:c r="L816" s="73" t="str">
        <x:f>IF(D816="","",C816+K816*60)</x:f>
      </x:c>
      <x:c r="M816" t="str">
        <x:f>IF(D816="","",IF(J816&gt;=Configuracion!$B$13,"DESLIZAR",IF(J816&gt;=Configuracion!$B$12,"PREPARARSE","NO DESLIZAR")))</x:f>
      </x:c>
      <x:c r="N816" s="41" t="str">
        <x:f>IF(D816="","",D816-$D$8)</x:f>
      </x:c>
      <x:c r="O816" s="46" t="str">
        <x:f>IF(D816="","",MAX(0,MIN(1,N816/Configuracion!$B$10)))</x:f>
      </x:c>
    </x:row>
    <x:row r="817">
      <x:c r="A817" s="34"/>
      <x:c r="B817" s="36"/>
      <x:c r="C817" s="72"/>
      <x:c r="D817" s="71"/>
      <x:c r="E817" s="41" t="str">
        <x:f>IF(D817="","",D817+273.15)</x:f>
      </x:c>
      <x:c r="F817" s="44" t="str">
        <x:f>IF(OR(C817="",D817="",C816=""),"",(C817-C816)/60)</x:f>
      </x:c>
      <x:c r="G817" s="44" t="str">
        <x:f>IF(D817="","",EXP(-Configuracion!$B$4/Configuracion!$B$5*(1/AVERAGE(E816:E817)-1/(Configuracion!$B$3+273.15))))</x:f>
      </x:c>
      <x:c r="H817" s="44" t="str">
        <x:f>IF(D817="","",F817*G817)</x:f>
      </x:c>
      <x:c r="I817" s="44" t="str">
        <x:f>IF(D817="","",I816+H817)</x:f>
      </x:c>
      <x:c r="J817" s="46" t="str">
        <x:f>IF(D817="","",MIN(1,I817/Configuracion!$B$11))</x:f>
      </x:c>
      <x:c r="K817" s="48" t="str">
        <x:f>IF(D817="","",MAX(0,(Configuracion!$B$11-I817)/G817))</x:f>
      </x:c>
      <x:c r="L817" s="73" t="str">
        <x:f>IF(D817="","",C817+K817*60)</x:f>
      </x:c>
      <x:c r="M817" t="str">
        <x:f>IF(D817="","",IF(J817&gt;=Configuracion!$B$13,"DESLIZAR",IF(J817&gt;=Configuracion!$B$12,"PREPARARSE","NO DESLIZAR")))</x:f>
      </x:c>
      <x:c r="N817" s="41" t="str">
        <x:f>IF(D817="","",D817-$D$8)</x:f>
      </x:c>
      <x:c r="O817" s="46" t="str">
        <x:f>IF(D817="","",MAX(0,MIN(1,N817/Configuracion!$B$10)))</x:f>
      </x:c>
    </x:row>
    <x:row r="818">
      <x:c r="A818" s="34"/>
      <x:c r="B818" s="36"/>
      <x:c r="C818" s="72"/>
      <x:c r="D818" s="71"/>
      <x:c r="E818" s="41" t="str">
        <x:f>IF(D818="","",D818+273.15)</x:f>
      </x:c>
      <x:c r="F818" s="44" t="str">
        <x:f>IF(OR(C818="",D818="",C817=""),"",(C818-C817)/60)</x:f>
      </x:c>
      <x:c r="G818" s="44" t="str">
        <x:f>IF(D818="","",EXP(-Configuracion!$B$4/Configuracion!$B$5*(1/AVERAGE(E817:E818)-1/(Configuracion!$B$3+273.15))))</x:f>
      </x:c>
      <x:c r="H818" s="44" t="str">
        <x:f>IF(D818="","",F818*G818)</x:f>
      </x:c>
      <x:c r="I818" s="44" t="str">
        <x:f>IF(D818="","",I817+H818)</x:f>
      </x:c>
      <x:c r="J818" s="46" t="str">
        <x:f>IF(D818="","",MIN(1,I818/Configuracion!$B$11))</x:f>
      </x:c>
      <x:c r="K818" s="48" t="str">
        <x:f>IF(D818="","",MAX(0,(Configuracion!$B$11-I818)/G818))</x:f>
      </x:c>
      <x:c r="L818" s="73" t="str">
        <x:f>IF(D818="","",C818+K818*60)</x:f>
      </x:c>
      <x:c r="M818" t="str">
        <x:f>IF(D818="","",IF(J818&gt;=Configuracion!$B$13,"DESLIZAR",IF(J818&gt;=Configuracion!$B$12,"PREPARARSE","NO DESLIZAR")))</x:f>
      </x:c>
      <x:c r="N818" s="41" t="str">
        <x:f>IF(D818="","",D818-$D$8)</x:f>
      </x:c>
      <x:c r="O818" s="46" t="str">
        <x:f>IF(D818="","",MAX(0,MIN(1,N818/Configuracion!$B$10)))</x:f>
      </x:c>
    </x:row>
    <x:row r="819">
      <x:c r="A819" s="34"/>
      <x:c r="B819" s="36"/>
      <x:c r="C819" s="72"/>
      <x:c r="D819" s="71"/>
      <x:c r="E819" s="41" t="str">
        <x:f>IF(D819="","",D819+273.15)</x:f>
      </x:c>
      <x:c r="F819" s="44" t="str">
        <x:f>IF(OR(C819="",D819="",C818=""),"",(C819-C818)/60)</x:f>
      </x:c>
      <x:c r="G819" s="44" t="str">
        <x:f>IF(D819="","",EXP(-Configuracion!$B$4/Configuracion!$B$5*(1/AVERAGE(E818:E819)-1/(Configuracion!$B$3+273.15))))</x:f>
      </x:c>
      <x:c r="H819" s="44" t="str">
        <x:f>IF(D819="","",F819*G819)</x:f>
      </x:c>
      <x:c r="I819" s="44" t="str">
        <x:f>IF(D819="","",I818+H819)</x:f>
      </x:c>
      <x:c r="J819" s="46" t="str">
        <x:f>IF(D819="","",MIN(1,I819/Configuracion!$B$11))</x:f>
      </x:c>
      <x:c r="K819" s="48" t="str">
        <x:f>IF(D819="","",MAX(0,(Configuracion!$B$11-I819)/G819))</x:f>
      </x:c>
      <x:c r="L819" s="73" t="str">
        <x:f>IF(D819="","",C819+K819*60)</x:f>
      </x:c>
      <x:c r="M819" t="str">
        <x:f>IF(D819="","",IF(J819&gt;=Configuracion!$B$13,"DESLIZAR",IF(J819&gt;=Configuracion!$B$12,"PREPARARSE","NO DESLIZAR")))</x:f>
      </x:c>
      <x:c r="N819" s="41" t="str">
        <x:f>IF(D819="","",D819-$D$8)</x:f>
      </x:c>
      <x:c r="O819" s="46" t="str">
        <x:f>IF(D819="","",MAX(0,MIN(1,N819/Configuracion!$B$10)))</x:f>
      </x:c>
    </x:row>
    <x:row r="820">
      <x:c r="A820" s="34"/>
      <x:c r="B820" s="36"/>
      <x:c r="C820" s="72"/>
      <x:c r="D820" s="71"/>
      <x:c r="E820" s="41" t="str">
        <x:f>IF(D820="","",D820+273.15)</x:f>
      </x:c>
      <x:c r="F820" s="44" t="str">
        <x:f>IF(OR(C820="",D820="",C819=""),"",(C820-C819)/60)</x:f>
      </x:c>
      <x:c r="G820" s="44" t="str">
        <x:f>IF(D820="","",EXP(-Configuracion!$B$4/Configuracion!$B$5*(1/AVERAGE(E819:E820)-1/(Configuracion!$B$3+273.15))))</x:f>
      </x:c>
      <x:c r="H820" s="44" t="str">
        <x:f>IF(D820="","",F820*G820)</x:f>
      </x:c>
      <x:c r="I820" s="44" t="str">
        <x:f>IF(D820="","",I819+H820)</x:f>
      </x:c>
      <x:c r="J820" s="46" t="str">
        <x:f>IF(D820="","",MIN(1,I820/Configuracion!$B$11))</x:f>
      </x:c>
      <x:c r="K820" s="48" t="str">
        <x:f>IF(D820="","",MAX(0,(Configuracion!$B$11-I820)/G820))</x:f>
      </x:c>
      <x:c r="L820" s="73" t="str">
        <x:f>IF(D820="","",C820+K820*60)</x:f>
      </x:c>
      <x:c r="M820" t="str">
        <x:f>IF(D820="","",IF(J820&gt;=Configuracion!$B$13,"DESLIZAR",IF(J820&gt;=Configuracion!$B$12,"PREPARARSE","NO DESLIZAR")))</x:f>
      </x:c>
      <x:c r="N820" s="41" t="str">
        <x:f>IF(D820="","",D820-$D$8)</x:f>
      </x:c>
      <x:c r="O820" s="46" t="str">
        <x:f>IF(D820="","",MAX(0,MIN(1,N820/Configuracion!$B$10)))</x:f>
      </x:c>
    </x:row>
    <x:row r="821">
      <x:c r="A821" s="34"/>
      <x:c r="B821" s="36"/>
      <x:c r="C821" s="72"/>
      <x:c r="D821" s="71"/>
      <x:c r="E821" s="41" t="str">
        <x:f>IF(D821="","",D821+273.15)</x:f>
      </x:c>
      <x:c r="F821" s="44" t="str">
        <x:f>IF(OR(C821="",D821="",C820=""),"",(C821-C820)/60)</x:f>
      </x:c>
      <x:c r="G821" s="44" t="str">
        <x:f>IF(D821="","",EXP(-Configuracion!$B$4/Configuracion!$B$5*(1/AVERAGE(E820:E821)-1/(Configuracion!$B$3+273.15))))</x:f>
      </x:c>
      <x:c r="H821" s="44" t="str">
        <x:f>IF(D821="","",F821*G821)</x:f>
      </x:c>
      <x:c r="I821" s="44" t="str">
        <x:f>IF(D821="","",I820+H821)</x:f>
      </x:c>
      <x:c r="J821" s="46" t="str">
        <x:f>IF(D821="","",MIN(1,I821/Configuracion!$B$11))</x:f>
      </x:c>
      <x:c r="K821" s="48" t="str">
        <x:f>IF(D821="","",MAX(0,(Configuracion!$B$11-I821)/G821))</x:f>
      </x:c>
      <x:c r="L821" s="73" t="str">
        <x:f>IF(D821="","",C821+K821*60)</x:f>
      </x:c>
      <x:c r="M821" t="str">
        <x:f>IF(D821="","",IF(J821&gt;=Configuracion!$B$13,"DESLIZAR",IF(J821&gt;=Configuracion!$B$12,"PREPARARSE","NO DESLIZAR")))</x:f>
      </x:c>
      <x:c r="N821" s="41" t="str">
        <x:f>IF(D821="","",D821-$D$8)</x:f>
      </x:c>
      <x:c r="O821" s="46" t="str">
        <x:f>IF(D821="","",MAX(0,MIN(1,N821/Configuracion!$B$10)))</x:f>
      </x:c>
    </x:row>
    <x:row r="822">
      <x:c r="A822" s="34"/>
      <x:c r="B822" s="36"/>
      <x:c r="C822" s="72"/>
      <x:c r="D822" s="71"/>
      <x:c r="E822" s="41" t="str">
        <x:f>IF(D822="","",D822+273.15)</x:f>
      </x:c>
      <x:c r="F822" s="44" t="str">
        <x:f>IF(OR(C822="",D822="",C821=""),"",(C822-C821)/60)</x:f>
      </x:c>
      <x:c r="G822" s="44" t="str">
        <x:f>IF(D822="","",EXP(-Configuracion!$B$4/Configuracion!$B$5*(1/AVERAGE(E821:E822)-1/(Configuracion!$B$3+273.15))))</x:f>
      </x:c>
      <x:c r="H822" s="44" t="str">
        <x:f>IF(D822="","",F822*G822)</x:f>
      </x:c>
      <x:c r="I822" s="44" t="str">
        <x:f>IF(D822="","",I821+H822)</x:f>
      </x:c>
      <x:c r="J822" s="46" t="str">
        <x:f>IF(D822="","",MIN(1,I822/Configuracion!$B$11))</x:f>
      </x:c>
      <x:c r="K822" s="48" t="str">
        <x:f>IF(D822="","",MAX(0,(Configuracion!$B$11-I822)/G822))</x:f>
      </x:c>
      <x:c r="L822" s="73" t="str">
        <x:f>IF(D822="","",C822+K822*60)</x:f>
      </x:c>
      <x:c r="M822" t="str">
        <x:f>IF(D822="","",IF(J822&gt;=Configuracion!$B$13,"DESLIZAR",IF(J822&gt;=Configuracion!$B$12,"PREPARARSE","NO DESLIZAR")))</x:f>
      </x:c>
      <x:c r="N822" s="41" t="str">
        <x:f>IF(D822="","",D822-$D$8)</x:f>
      </x:c>
      <x:c r="O822" s="46" t="str">
        <x:f>IF(D822="","",MAX(0,MIN(1,N822/Configuracion!$B$10)))</x:f>
      </x:c>
    </x:row>
    <x:row r="823">
      <x:c r="A823" s="34"/>
      <x:c r="B823" s="36"/>
      <x:c r="C823" s="72"/>
      <x:c r="D823" s="71"/>
      <x:c r="E823" s="41" t="str">
        <x:f>IF(D823="","",D823+273.15)</x:f>
      </x:c>
      <x:c r="F823" s="44" t="str">
        <x:f>IF(OR(C823="",D823="",C822=""),"",(C823-C822)/60)</x:f>
      </x:c>
      <x:c r="G823" s="44" t="str">
        <x:f>IF(D823="","",EXP(-Configuracion!$B$4/Configuracion!$B$5*(1/AVERAGE(E822:E823)-1/(Configuracion!$B$3+273.15))))</x:f>
      </x:c>
      <x:c r="H823" s="44" t="str">
        <x:f>IF(D823="","",F823*G823)</x:f>
      </x:c>
      <x:c r="I823" s="44" t="str">
        <x:f>IF(D823="","",I822+H823)</x:f>
      </x:c>
      <x:c r="J823" s="46" t="str">
        <x:f>IF(D823="","",MIN(1,I823/Configuracion!$B$11))</x:f>
      </x:c>
      <x:c r="K823" s="48" t="str">
        <x:f>IF(D823="","",MAX(0,(Configuracion!$B$11-I823)/G823))</x:f>
      </x:c>
      <x:c r="L823" s="73" t="str">
        <x:f>IF(D823="","",C823+K823*60)</x:f>
      </x:c>
      <x:c r="M823" t="str">
        <x:f>IF(D823="","",IF(J823&gt;=Configuracion!$B$13,"DESLIZAR",IF(J823&gt;=Configuracion!$B$12,"PREPARARSE","NO DESLIZAR")))</x:f>
      </x:c>
      <x:c r="N823" s="41" t="str">
        <x:f>IF(D823="","",D823-$D$8)</x:f>
      </x:c>
      <x:c r="O823" s="46" t="str">
        <x:f>IF(D823="","",MAX(0,MIN(1,N823/Configuracion!$B$10)))</x:f>
      </x:c>
    </x:row>
    <x:row r="824">
      <x:c r="A824" s="34"/>
      <x:c r="B824" s="36"/>
      <x:c r="C824" s="72"/>
      <x:c r="D824" s="71"/>
      <x:c r="E824" s="41" t="str">
        <x:f>IF(D824="","",D824+273.15)</x:f>
      </x:c>
      <x:c r="F824" s="44" t="str">
        <x:f>IF(OR(C824="",D824="",C823=""),"",(C824-C823)/60)</x:f>
      </x:c>
      <x:c r="G824" s="44" t="str">
        <x:f>IF(D824="","",EXP(-Configuracion!$B$4/Configuracion!$B$5*(1/AVERAGE(E823:E824)-1/(Configuracion!$B$3+273.15))))</x:f>
      </x:c>
      <x:c r="H824" s="44" t="str">
        <x:f>IF(D824="","",F824*G824)</x:f>
      </x:c>
      <x:c r="I824" s="44" t="str">
        <x:f>IF(D824="","",I823+H824)</x:f>
      </x:c>
      <x:c r="J824" s="46" t="str">
        <x:f>IF(D824="","",MIN(1,I824/Configuracion!$B$11))</x:f>
      </x:c>
      <x:c r="K824" s="48" t="str">
        <x:f>IF(D824="","",MAX(0,(Configuracion!$B$11-I824)/G824))</x:f>
      </x:c>
      <x:c r="L824" s="73" t="str">
        <x:f>IF(D824="","",C824+K824*60)</x:f>
      </x:c>
      <x:c r="M824" t="str">
        <x:f>IF(D824="","",IF(J824&gt;=Configuracion!$B$13,"DESLIZAR",IF(J824&gt;=Configuracion!$B$12,"PREPARARSE","NO DESLIZAR")))</x:f>
      </x:c>
      <x:c r="N824" s="41" t="str">
        <x:f>IF(D824="","",D824-$D$8)</x:f>
      </x:c>
      <x:c r="O824" s="46" t="str">
        <x:f>IF(D824="","",MAX(0,MIN(1,N824/Configuracion!$B$10)))</x:f>
      </x:c>
    </x:row>
    <x:row r="825">
      <x:c r="A825" s="34"/>
      <x:c r="B825" s="36"/>
      <x:c r="C825" s="72"/>
      <x:c r="D825" s="71"/>
      <x:c r="E825" s="41" t="str">
        <x:f>IF(D825="","",D825+273.15)</x:f>
      </x:c>
      <x:c r="F825" s="44" t="str">
        <x:f>IF(OR(C825="",D825="",C824=""),"",(C825-C824)/60)</x:f>
      </x:c>
      <x:c r="G825" s="44" t="str">
        <x:f>IF(D825="","",EXP(-Configuracion!$B$4/Configuracion!$B$5*(1/AVERAGE(E824:E825)-1/(Configuracion!$B$3+273.15))))</x:f>
      </x:c>
      <x:c r="H825" s="44" t="str">
        <x:f>IF(D825="","",F825*G825)</x:f>
      </x:c>
      <x:c r="I825" s="44" t="str">
        <x:f>IF(D825="","",I824+H825)</x:f>
      </x:c>
      <x:c r="J825" s="46" t="str">
        <x:f>IF(D825="","",MIN(1,I825/Configuracion!$B$11))</x:f>
      </x:c>
      <x:c r="K825" s="48" t="str">
        <x:f>IF(D825="","",MAX(0,(Configuracion!$B$11-I825)/G825))</x:f>
      </x:c>
      <x:c r="L825" s="73" t="str">
        <x:f>IF(D825="","",C825+K825*60)</x:f>
      </x:c>
      <x:c r="M825" t="str">
        <x:f>IF(D825="","",IF(J825&gt;=Configuracion!$B$13,"DESLIZAR",IF(J825&gt;=Configuracion!$B$12,"PREPARARSE","NO DESLIZAR")))</x:f>
      </x:c>
      <x:c r="N825" s="41" t="str">
        <x:f>IF(D825="","",D825-$D$8)</x:f>
      </x:c>
      <x:c r="O825" s="46" t="str">
        <x:f>IF(D825="","",MAX(0,MIN(1,N825/Configuracion!$B$10)))</x:f>
      </x:c>
    </x:row>
    <x:row r="826">
      <x:c r="A826" s="34"/>
      <x:c r="B826" s="36"/>
      <x:c r="C826" s="72"/>
      <x:c r="D826" s="71"/>
      <x:c r="E826" s="41" t="str">
        <x:f>IF(D826="","",D826+273.15)</x:f>
      </x:c>
      <x:c r="F826" s="44" t="str">
        <x:f>IF(OR(C826="",D826="",C825=""),"",(C826-C825)/60)</x:f>
      </x:c>
      <x:c r="G826" s="44" t="str">
        <x:f>IF(D826="","",EXP(-Configuracion!$B$4/Configuracion!$B$5*(1/AVERAGE(E825:E826)-1/(Configuracion!$B$3+273.15))))</x:f>
      </x:c>
      <x:c r="H826" s="44" t="str">
        <x:f>IF(D826="","",F826*G826)</x:f>
      </x:c>
      <x:c r="I826" s="44" t="str">
        <x:f>IF(D826="","",I825+H826)</x:f>
      </x:c>
      <x:c r="J826" s="46" t="str">
        <x:f>IF(D826="","",MIN(1,I826/Configuracion!$B$11))</x:f>
      </x:c>
      <x:c r="K826" s="48" t="str">
        <x:f>IF(D826="","",MAX(0,(Configuracion!$B$11-I826)/G826))</x:f>
      </x:c>
      <x:c r="L826" s="73" t="str">
        <x:f>IF(D826="","",C826+K826*60)</x:f>
      </x:c>
      <x:c r="M826" t="str">
        <x:f>IF(D826="","",IF(J826&gt;=Configuracion!$B$13,"DESLIZAR",IF(J826&gt;=Configuracion!$B$12,"PREPARARSE","NO DESLIZAR")))</x:f>
      </x:c>
      <x:c r="N826" s="41" t="str">
        <x:f>IF(D826="","",D826-$D$8)</x:f>
      </x:c>
      <x:c r="O826" s="46" t="str">
        <x:f>IF(D826="","",MAX(0,MIN(1,N826/Configuracion!$B$10)))</x:f>
      </x:c>
    </x:row>
    <x:row r="827">
      <x:c r="A827" s="34"/>
      <x:c r="B827" s="36"/>
      <x:c r="C827" s="72"/>
      <x:c r="D827" s="71"/>
      <x:c r="E827" s="41" t="str">
        <x:f>IF(D827="","",D827+273.15)</x:f>
      </x:c>
      <x:c r="F827" s="44" t="str">
        <x:f>IF(OR(C827="",D827="",C826=""),"",(C827-C826)/60)</x:f>
      </x:c>
      <x:c r="G827" s="44" t="str">
        <x:f>IF(D827="","",EXP(-Configuracion!$B$4/Configuracion!$B$5*(1/AVERAGE(E826:E827)-1/(Configuracion!$B$3+273.15))))</x:f>
      </x:c>
      <x:c r="H827" s="44" t="str">
        <x:f>IF(D827="","",F827*G827)</x:f>
      </x:c>
      <x:c r="I827" s="44" t="str">
        <x:f>IF(D827="","",I826+H827)</x:f>
      </x:c>
      <x:c r="J827" s="46" t="str">
        <x:f>IF(D827="","",MIN(1,I827/Configuracion!$B$11))</x:f>
      </x:c>
      <x:c r="K827" s="48" t="str">
        <x:f>IF(D827="","",MAX(0,(Configuracion!$B$11-I827)/G827))</x:f>
      </x:c>
      <x:c r="L827" s="73" t="str">
        <x:f>IF(D827="","",C827+K827*60)</x:f>
      </x:c>
      <x:c r="M827" t="str">
        <x:f>IF(D827="","",IF(J827&gt;=Configuracion!$B$13,"DESLIZAR",IF(J827&gt;=Configuracion!$B$12,"PREPARARSE","NO DESLIZAR")))</x:f>
      </x:c>
      <x:c r="N827" s="41" t="str">
        <x:f>IF(D827="","",D827-$D$8)</x:f>
      </x:c>
      <x:c r="O827" s="46" t="str">
        <x:f>IF(D827="","",MAX(0,MIN(1,N827/Configuracion!$B$10)))</x:f>
      </x:c>
    </x:row>
    <x:row r="828">
      <x:c r="A828" s="34"/>
      <x:c r="B828" s="36"/>
      <x:c r="C828" s="72"/>
      <x:c r="D828" s="71"/>
      <x:c r="E828" s="41" t="str">
        <x:f>IF(D828="","",D828+273.15)</x:f>
      </x:c>
      <x:c r="F828" s="44" t="str">
        <x:f>IF(OR(C828="",D828="",C827=""),"",(C828-C827)/60)</x:f>
      </x:c>
      <x:c r="G828" s="44" t="str">
        <x:f>IF(D828="","",EXP(-Configuracion!$B$4/Configuracion!$B$5*(1/AVERAGE(E827:E828)-1/(Configuracion!$B$3+273.15))))</x:f>
      </x:c>
      <x:c r="H828" s="44" t="str">
        <x:f>IF(D828="","",F828*G828)</x:f>
      </x:c>
      <x:c r="I828" s="44" t="str">
        <x:f>IF(D828="","",I827+H828)</x:f>
      </x:c>
      <x:c r="J828" s="46" t="str">
        <x:f>IF(D828="","",MIN(1,I828/Configuracion!$B$11))</x:f>
      </x:c>
      <x:c r="K828" s="48" t="str">
        <x:f>IF(D828="","",MAX(0,(Configuracion!$B$11-I828)/G828))</x:f>
      </x:c>
      <x:c r="L828" s="73" t="str">
        <x:f>IF(D828="","",C828+K828*60)</x:f>
      </x:c>
      <x:c r="M828" t="str">
        <x:f>IF(D828="","",IF(J828&gt;=Configuracion!$B$13,"DESLIZAR",IF(J828&gt;=Configuracion!$B$12,"PREPARARSE","NO DESLIZAR")))</x:f>
      </x:c>
      <x:c r="N828" s="41" t="str">
        <x:f>IF(D828="","",D828-$D$8)</x:f>
      </x:c>
      <x:c r="O828" s="46" t="str">
        <x:f>IF(D828="","",MAX(0,MIN(1,N828/Configuracion!$B$10)))</x:f>
      </x:c>
    </x:row>
    <x:row r="829">
      <x:c r="A829" s="34"/>
      <x:c r="B829" s="36"/>
      <x:c r="C829" s="72"/>
      <x:c r="D829" s="71"/>
      <x:c r="E829" s="41" t="str">
        <x:f>IF(D829="","",D829+273.15)</x:f>
      </x:c>
      <x:c r="F829" s="44" t="str">
        <x:f>IF(OR(C829="",D829="",C828=""),"",(C829-C828)/60)</x:f>
      </x:c>
      <x:c r="G829" s="44" t="str">
        <x:f>IF(D829="","",EXP(-Configuracion!$B$4/Configuracion!$B$5*(1/AVERAGE(E828:E829)-1/(Configuracion!$B$3+273.15))))</x:f>
      </x:c>
      <x:c r="H829" s="44" t="str">
        <x:f>IF(D829="","",F829*G829)</x:f>
      </x:c>
      <x:c r="I829" s="44" t="str">
        <x:f>IF(D829="","",I828+H829)</x:f>
      </x:c>
      <x:c r="J829" s="46" t="str">
        <x:f>IF(D829="","",MIN(1,I829/Configuracion!$B$11))</x:f>
      </x:c>
      <x:c r="K829" s="48" t="str">
        <x:f>IF(D829="","",MAX(0,(Configuracion!$B$11-I829)/G829))</x:f>
      </x:c>
      <x:c r="L829" s="73" t="str">
        <x:f>IF(D829="","",C829+K829*60)</x:f>
      </x:c>
      <x:c r="M829" t="str">
        <x:f>IF(D829="","",IF(J829&gt;=Configuracion!$B$13,"DESLIZAR",IF(J829&gt;=Configuracion!$B$12,"PREPARARSE","NO DESLIZAR")))</x:f>
      </x:c>
      <x:c r="N829" s="41" t="str">
        <x:f>IF(D829="","",D829-$D$8)</x:f>
      </x:c>
      <x:c r="O829" s="46" t="str">
        <x:f>IF(D829="","",MAX(0,MIN(1,N829/Configuracion!$B$10)))</x:f>
      </x:c>
    </x:row>
    <x:row r="830">
      <x:c r="A830" s="34"/>
      <x:c r="B830" s="36"/>
      <x:c r="C830" s="72"/>
      <x:c r="D830" s="71"/>
      <x:c r="E830" s="41" t="str">
        <x:f>IF(D830="","",D830+273.15)</x:f>
      </x:c>
      <x:c r="F830" s="44" t="str">
        <x:f>IF(OR(C830="",D830="",C829=""),"",(C830-C829)/60)</x:f>
      </x:c>
      <x:c r="G830" s="44" t="str">
        <x:f>IF(D830="","",EXP(-Configuracion!$B$4/Configuracion!$B$5*(1/AVERAGE(E829:E830)-1/(Configuracion!$B$3+273.15))))</x:f>
      </x:c>
      <x:c r="H830" s="44" t="str">
        <x:f>IF(D830="","",F830*G830)</x:f>
      </x:c>
      <x:c r="I830" s="44" t="str">
        <x:f>IF(D830="","",I829+H830)</x:f>
      </x:c>
      <x:c r="J830" s="46" t="str">
        <x:f>IF(D830="","",MIN(1,I830/Configuracion!$B$11))</x:f>
      </x:c>
      <x:c r="K830" s="48" t="str">
        <x:f>IF(D830="","",MAX(0,(Configuracion!$B$11-I830)/G830))</x:f>
      </x:c>
      <x:c r="L830" s="73" t="str">
        <x:f>IF(D830="","",C830+K830*60)</x:f>
      </x:c>
      <x:c r="M830" t="str">
        <x:f>IF(D830="","",IF(J830&gt;=Configuracion!$B$13,"DESLIZAR",IF(J830&gt;=Configuracion!$B$12,"PREPARARSE","NO DESLIZAR")))</x:f>
      </x:c>
      <x:c r="N830" s="41" t="str">
        <x:f>IF(D830="","",D830-$D$8)</x:f>
      </x:c>
      <x:c r="O830" s="46" t="str">
        <x:f>IF(D830="","",MAX(0,MIN(1,N830/Configuracion!$B$10)))</x:f>
      </x:c>
    </x:row>
    <x:row r="831">
      <x:c r="A831" s="34"/>
      <x:c r="B831" s="36"/>
      <x:c r="C831" s="72"/>
      <x:c r="D831" s="71"/>
      <x:c r="E831" s="41" t="str">
        <x:f>IF(D831="","",D831+273.15)</x:f>
      </x:c>
      <x:c r="F831" s="44" t="str">
        <x:f>IF(OR(C831="",D831="",C830=""),"",(C831-C830)/60)</x:f>
      </x:c>
      <x:c r="G831" s="44" t="str">
        <x:f>IF(D831="","",EXP(-Configuracion!$B$4/Configuracion!$B$5*(1/AVERAGE(E830:E831)-1/(Configuracion!$B$3+273.15))))</x:f>
      </x:c>
      <x:c r="H831" s="44" t="str">
        <x:f>IF(D831="","",F831*G831)</x:f>
      </x:c>
      <x:c r="I831" s="44" t="str">
        <x:f>IF(D831="","",I830+H831)</x:f>
      </x:c>
      <x:c r="J831" s="46" t="str">
        <x:f>IF(D831="","",MIN(1,I831/Configuracion!$B$11))</x:f>
      </x:c>
      <x:c r="K831" s="48" t="str">
        <x:f>IF(D831="","",MAX(0,(Configuracion!$B$11-I831)/G831))</x:f>
      </x:c>
      <x:c r="L831" s="73" t="str">
        <x:f>IF(D831="","",C831+K831*60)</x:f>
      </x:c>
      <x:c r="M831" t="str">
        <x:f>IF(D831="","",IF(J831&gt;=Configuracion!$B$13,"DESLIZAR",IF(J831&gt;=Configuracion!$B$12,"PREPARARSE","NO DESLIZAR")))</x:f>
      </x:c>
      <x:c r="N831" s="41" t="str">
        <x:f>IF(D831="","",D831-$D$8)</x:f>
      </x:c>
      <x:c r="O831" s="46" t="str">
        <x:f>IF(D831="","",MAX(0,MIN(1,N831/Configuracion!$B$10)))</x:f>
      </x:c>
    </x:row>
    <x:row r="832">
      <x:c r="A832" s="34"/>
      <x:c r="B832" s="36"/>
      <x:c r="C832" s="72"/>
      <x:c r="D832" s="71"/>
      <x:c r="E832" s="41" t="str">
        <x:f>IF(D832="","",D832+273.15)</x:f>
      </x:c>
      <x:c r="F832" s="44" t="str">
        <x:f>IF(OR(C832="",D832="",C831=""),"",(C832-C831)/60)</x:f>
      </x:c>
      <x:c r="G832" s="44" t="str">
        <x:f>IF(D832="","",EXP(-Configuracion!$B$4/Configuracion!$B$5*(1/AVERAGE(E831:E832)-1/(Configuracion!$B$3+273.15))))</x:f>
      </x:c>
      <x:c r="H832" s="44" t="str">
        <x:f>IF(D832="","",F832*G832)</x:f>
      </x:c>
      <x:c r="I832" s="44" t="str">
        <x:f>IF(D832="","",I831+H832)</x:f>
      </x:c>
      <x:c r="J832" s="46" t="str">
        <x:f>IF(D832="","",MIN(1,I832/Configuracion!$B$11))</x:f>
      </x:c>
      <x:c r="K832" s="48" t="str">
        <x:f>IF(D832="","",MAX(0,(Configuracion!$B$11-I832)/G832))</x:f>
      </x:c>
      <x:c r="L832" s="73" t="str">
        <x:f>IF(D832="","",C832+K832*60)</x:f>
      </x:c>
      <x:c r="M832" t="str">
        <x:f>IF(D832="","",IF(J832&gt;=Configuracion!$B$13,"DESLIZAR",IF(J832&gt;=Configuracion!$B$12,"PREPARARSE","NO DESLIZAR")))</x:f>
      </x:c>
      <x:c r="N832" s="41" t="str">
        <x:f>IF(D832="","",D832-$D$8)</x:f>
      </x:c>
      <x:c r="O832" s="46" t="str">
        <x:f>IF(D832="","",MAX(0,MIN(1,N832/Configuracion!$B$10)))</x:f>
      </x:c>
    </x:row>
    <x:row r="833">
      <x:c r="A833" s="34"/>
      <x:c r="B833" s="36"/>
      <x:c r="C833" s="72"/>
      <x:c r="D833" s="71"/>
      <x:c r="E833" s="41" t="str">
        <x:f>IF(D833="","",D833+273.15)</x:f>
      </x:c>
      <x:c r="F833" s="44" t="str">
        <x:f>IF(OR(C833="",D833="",C832=""),"",(C833-C832)/60)</x:f>
      </x:c>
      <x:c r="G833" s="44" t="str">
        <x:f>IF(D833="","",EXP(-Configuracion!$B$4/Configuracion!$B$5*(1/AVERAGE(E832:E833)-1/(Configuracion!$B$3+273.15))))</x:f>
      </x:c>
      <x:c r="H833" s="44" t="str">
        <x:f>IF(D833="","",F833*G833)</x:f>
      </x:c>
      <x:c r="I833" s="44" t="str">
        <x:f>IF(D833="","",I832+H833)</x:f>
      </x:c>
      <x:c r="J833" s="46" t="str">
        <x:f>IF(D833="","",MIN(1,I833/Configuracion!$B$11))</x:f>
      </x:c>
      <x:c r="K833" s="48" t="str">
        <x:f>IF(D833="","",MAX(0,(Configuracion!$B$11-I833)/G833))</x:f>
      </x:c>
      <x:c r="L833" s="73" t="str">
        <x:f>IF(D833="","",C833+K833*60)</x:f>
      </x:c>
      <x:c r="M833" t="str">
        <x:f>IF(D833="","",IF(J833&gt;=Configuracion!$B$13,"DESLIZAR",IF(J833&gt;=Configuracion!$B$12,"PREPARARSE","NO DESLIZAR")))</x:f>
      </x:c>
      <x:c r="N833" s="41" t="str">
        <x:f>IF(D833="","",D833-$D$8)</x:f>
      </x:c>
      <x:c r="O833" s="46" t="str">
        <x:f>IF(D833="","",MAX(0,MIN(1,N833/Configuracion!$B$10)))</x:f>
      </x:c>
    </x:row>
    <x:row r="834">
      <x:c r="A834" s="34"/>
      <x:c r="B834" s="36"/>
      <x:c r="C834" s="72"/>
      <x:c r="D834" s="71"/>
      <x:c r="E834" s="41" t="str">
        <x:f>IF(D834="","",D834+273.15)</x:f>
      </x:c>
      <x:c r="F834" s="44" t="str">
        <x:f>IF(OR(C834="",D834="",C833=""),"",(C834-C833)/60)</x:f>
      </x:c>
      <x:c r="G834" s="44" t="str">
        <x:f>IF(D834="","",EXP(-Configuracion!$B$4/Configuracion!$B$5*(1/AVERAGE(E833:E834)-1/(Configuracion!$B$3+273.15))))</x:f>
      </x:c>
      <x:c r="H834" s="44" t="str">
        <x:f>IF(D834="","",F834*G834)</x:f>
      </x:c>
      <x:c r="I834" s="44" t="str">
        <x:f>IF(D834="","",I833+H834)</x:f>
      </x:c>
      <x:c r="J834" s="46" t="str">
        <x:f>IF(D834="","",MIN(1,I834/Configuracion!$B$11))</x:f>
      </x:c>
      <x:c r="K834" s="48" t="str">
        <x:f>IF(D834="","",MAX(0,(Configuracion!$B$11-I834)/G834))</x:f>
      </x:c>
      <x:c r="L834" s="73" t="str">
        <x:f>IF(D834="","",C834+K834*60)</x:f>
      </x:c>
      <x:c r="M834" t="str">
        <x:f>IF(D834="","",IF(J834&gt;=Configuracion!$B$13,"DESLIZAR",IF(J834&gt;=Configuracion!$B$12,"PREPARARSE","NO DESLIZAR")))</x:f>
      </x:c>
      <x:c r="N834" s="41" t="str">
        <x:f>IF(D834="","",D834-$D$8)</x:f>
      </x:c>
      <x:c r="O834" s="46" t="str">
        <x:f>IF(D834="","",MAX(0,MIN(1,N834/Configuracion!$B$10)))</x:f>
      </x:c>
    </x:row>
    <x:row r="835">
      <x:c r="A835" s="34"/>
      <x:c r="B835" s="36"/>
      <x:c r="C835" s="72"/>
      <x:c r="D835" s="71"/>
      <x:c r="E835" s="41" t="str">
        <x:f>IF(D835="","",D835+273.15)</x:f>
      </x:c>
      <x:c r="F835" s="44" t="str">
        <x:f>IF(OR(C835="",D835="",C834=""),"",(C835-C834)/60)</x:f>
      </x:c>
      <x:c r="G835" s="44" t="str">
        <x:f>IF(D835="","",EXP(-Configuracion!$B$4/Configuracion!$B$5*(1/AVERAGE(E834:E835)-1/(Configuracion!$B$3+273.15))))</x:f>
      </x:c>
      <x:c r="H835" s="44" t="str">
        <x:f>IF(D835="","",F835*G835)</x:f>
      </x:c>
      <x:c r="I835" s="44" t="str">
        <x:f>IF(D835="","",I834+H835)</x:f>
      </x:c>
      <x:c r="J835" s="46" t="str">
        <x:f>IF(D835="","",MIN(1,I835/Configuracion!$B$11))</x:f>
      </x:c>
      <x:c r="K835" s="48" t="str">
        <x:f>IF(D835="","",MAX(0,(Configuracion!$B$11-I835)/G835))</x:f>
      </x:c>
      <x:c r="L835" s="73" t="str">
        <x:f>IF(D835="","",C835+K835*60)</x:f>
      </x:c>
      <x:c r="M835" t="str">
        <x:f>IF(D835="","",IF(J835&gt;=Configuracion!$B$13,"DESLIZAR",IF(J835&gt;=Configuracion!$B$12,"PREPARARSE","NO DESLIZAR")))</x:f>
      </x:c>
      <x:c r="N835" s="41" t="str">
        <x:f>IF(D835="","",D835-$D$8)</x:f>
      </x:c>
      <x:c r="O835" s="46" t="str">
        <x:f>IF(D835="","",MAX(0,MIN(1,N835/Configuracion!$B$10)))</x:f>
      </x:c>
    </x:row>
    <x:row r="836">
      <x:c r="A836" s="34"/>
      <x:c r="B836" s="36"/>
      <x:c r="C836" s="72"/>
      <x:c r="D836" s="71"/>
      <x:c r="E836" s="41" t="str">
        <x:f>IF(D836="","",D836+273.15)</x:f>
      </x:c>
      <x:c r="F836" s="44" t="str">
        <x:f>IF(OR(C836="",D836="",C835=""),"",(C836-C835)/60)</x:f>
      </x:c>
      <x:c r="G836" s="44" t="str">
        <x:f>IF(D836="","",EXP(-Configuracion!$B$4/Configuracion!$B$5*(1/AVERAGE(E835:E836)-1/(Configuracion!$B$3+273.15))))</x:f>
      </x:c>
      <x:c r="H836" s="44" t="str">
        <x:f>IF(D836="","",F836*G836)</x:f>
      </x:c>
      <x:c r="I836" s="44" t="str">
        <x:f>IF(D836="","",I835+H836)</x:f>
      </x:c>
      <x:c r="J836" s="46" t="str">
        <x:f>IF(D836="","",MIN(1,I836/Configuracion!$B$11))</x:f>
      </x:c>
      <x:c r="K836" s="48" t="str">
        <x:f>IF(D836="","",MAX(0,(Configuracion!$B$11-I836)/G836))</x:f>
      </x:c>
      <x:c r="L836" s="73" t="str">
        <x:f>IF(D836="","",C836+K836*60)</x:f>
      </x:c>
      <x:c r="M836" t="str">
        <x:f>IF(D836="","",IF(J836&gt;=Configuracion!$B$13,"DESLIZAR",IF(J836&gt;=Configuracion!$B$12,"PREPARARSE","NO DESLIZAR")))</x:f>
      </x:c>
      <x:c r="N836" s="41" t="str">
        <x:f>IF(D836="","",D836-$D$8)</x:f>
      </x:c>
      <x:c r="O836" s="46" t="str">
        <x:f>IF(D836="","",MAX(0,MIN(1,N836/Configuracion!$B$10)))</x:f>
      </x:c>
    </x:row>
    <x:row r="837">
      <x:c r="A837" s="34"/>
      <x:c r="B837" s="36"/>
      <x:c r="C837" s="72"/>
      <x:c r="D837" s="71"/>
      <x:c r="E837" s="41" t="str">
        <x:f>IF(D837="","",D837+273.15)</x:f>
      </x:c>
      <x:c r="F837" s="44" t="str">
        <x:f>IF(OR(C837="",D837="",C836=""),"",(C837-C836)/60)</x:f>
      </x:c>
      <x:c r="G837" s="44" t="str">
        <x:f>IF(D837="","",EXP(-Configuracion!$B$4/Configuracion!$B$5*(1/AVERAGE(E836:E837)-1/(Configuracion!$B$3+273.15))))</x:f>
      </x:c>
      <x:c r="H837" s="44" t="str">
        <x:f>IF(D837="","",F837*G837)</x:f>
      </x:c>
      <x:c r="I837" s="44" t="str">
        <x:f>IF(D837="","",I836+H837)</x:f>
      </x:c>
      <x:c r="J837" s="46" t="str">
        <x:f>IF(D837="","",MIN(1,I837/Configuracion!$B$11))</x:f>
      </x:c>
      <x:c r="K837" s="48" t="str">
        <x:f>IF(D837="","",MAX(0,(Configuracion!$B$11-I837)/G837))</x:f>
      </x:c>
      <x:c r="L837" s="73" t="str">
        <x:f>IF(D837="","",C837+K837*60)</x:f>
      </x:c>
      <x:c r="M837" t="str">
        <x:f>IF(D837="","",IF(J837&gt;=Configuracion!$B$13,"DESLIZAR",IF(J837&gt;=Configuracion!$B$12,"PREPARARSE","NO DESLIZAR")))</x:f>
      </x:c>
      <x:c r="N837" s="41" t="str">
        <x:f>IF(D837="","",D837-$D$8)</x:f>
      </x:c>
      <x:c r="O837" s="46" t="str">
        <x:f>IF(D837="","",MAX(0,MIN(1,N837/Configuracion!$B$10)))</x:f>
      </x:c>
    </x:row>
    <x:row r="838">
      <x:c r="A838" s="34"/>
      <x:c r="B838" s="36"/>
      <x:c r="C838" s="72"/>
      <x:c r="D838" s="71"/>
      <x:c r="E838" s="41" t="str">
        <x:f>IF(D838="","",D838+273.15)</x:f>
      </x:c>
      <x:c r="F838" s="44" t="str">
        <x:f>IF(OR(C838="",D838="",C837=""),"",(C838-C837)/60)</x:f>
      </x:c>
      <x:c r="G838" s="44" t="str">
        <x:f>IF(D838="","",EXP(-Configuracion!$B$4/Configuracion!$B$5*(1/AVERAGE(E837:E838)-1/(Configuracion!$B$3+273.15))))</x:f>
      </x:c>
      <x:c r="H838" s="44" t="str">
        <x:f>IF(D838="","",F838*G838)</x:f>
      </x:c>
      <x:c r="I838" s="44" t="str">
        <x:f>IF(D838="","",I837+H838)</x:f>
      </x:c>
      <x:c r="J838" s="46" t="str">
        <x:f>IF(D838="","",MIN(1,I838/Configuracion!$B$11))</x:f>
      </x:c>
      <x:c r="K838" s="48" t="str">
        <x:f>IF(D838="","",MAX(0,(Configuracion!$B$11-I838)/G838))</x:f>
      </x:c>
      <x:c r="L838" s="73" t="str">
        <x:f>IF(D838="","",C838+K838*60)</x:f>
      </x:c>
      <x:c r="M838" t="str">
        <x:f>IF(D838="","",IF(J838&gt;=Configuracion!$B$13,"DESLIZAR",IF(J838&gt;=Configuracion!$B$12,"PREPARARSE","NO DESLIZAR")))</x:f>
      </x:c>
      <x:c r="N838" s="41" t="str">
        <x:f>IF(D838="","",D838-$D$8)</x:f>
      </x:c>
      <x:c r="O838" s="46" t="str">
        <x:f>IF(D838="","",MAX(0,MIN(1,N838/Configuracion!$B$10)))</x:f>
      </x:c>
    </x:row>
    <x:row r="839">
      <x:c r="A839" s="34"/>
      <x:c r="B839" s="36"/>
      <x:c r="C839" s="72"/>
      <x:c r="D839" s="71"/>
      <x:c r="E839" s="41" t="str">
        <x:f>IF(D839="","",D839+273.15)</x:f>
      </x:c>
      <x:c r="F839" s="44" t="str">
        <x:f>IF(OR(C839="",D839="",C838=""),"",(C839-C838)/60)</x:f>
      </x:c>
      <x:c r="G839" s="44" t="str">
        <x:f>IF(D839="","",EXP(-Configuracion!$B$4/Configuracion!$B$5*(1/AVERAGE(E838:E839)-1/(Configuracion!$B$3+273.15))))</x:f>
      </x:c>
      <x:c r="H839" s="44" t="str">
        <x:f>IF(D839="","",F839*G839)</x:f>
      </x:c>
      <x:c r="I839" s="44" t="str">
        <x:f>IF(D839="","",I838+H839)</x:f>
      </x:c>
      <x:c r="J839" s="46" t="str">
        <x:f>IF(D839="","",MIN(1,I839/Configuracion!$B$11))</x:f>
      </x:c>
      <x:c r="K839" s="48" t="str">
        <x:f>IF(D839="","",MAX(0,(Configuracion!$B$11-I839)/G839))</x:f>
      </x:c>
      <x:c r="L839" s="73" t="str">
        <x:f>IF(D839="","",C839+K839*60)</x:f>
      </x:c>
      <x:c r="M839" t="str">
        <x:f>IF(D839="","",IF(J839&gt;=Configuracion!$B$13,"DESLIZAR",IF(J839&gt;=Configuracion!$B$12,"PREPARARSE","NO DESLIZAR")))</x:f>
      </x:c>
      <x:c r="N839" s="41" t="str">
        <x:f>IF(D839="","",D839-$D$8)</x:f>
      </x:c>
      <x:c r="O839" s="46" t="str">
        <x:f>IF(D839="","",MAX(0,MIN(1,N839/Configuracion!$B$10)))</x:f>
      </x:c>
    </x:row>
    <x:row r="840">
      <x:c r="A840" s="34"/>
      <x:c r="B840" s="36"/>
      <x:c r="C840" s="72"/>
      <x:c r="D840" s="71"/>
      <x:c r="E840" s="41" t="str">
        <x:f>IF(D840="","",D840+273.15)</x:f>
      </x:c>
      <x:c r="F840" s="44" t="str">
        <x:f>IF(OR(C840="",D840="",C839=""),"",(C840-C839)/60)</x:f>
      </x:c>
      <x:c r="G840" s="44" t="str">
        <x:f>IF(D840="","",EXP(-Configuracion!$B$4/Configuracion!$B$5*(1/AVERAGE(E839:E840)-1/(Configuracion!$B$3+273.15))))</x:f>
      </x:c>
      <x:c r="H840" s="44" t="str">
        <x:f>IF(D840="","",F840*G840)</x:f>
      </x:c>
      <x:c r="I840" s="44" t="str">
        <x:f>IF(D840="","",I839+H840)</x:f>
      </x:c>
      <x:c r="J840" s="46" t="str">
        <x:f>IF(D840="","",MIN(1,I840/Configuracion!$B$11))</x:f>
      </x:c>
      <x:c r="K840" s="48" t="str">
        <x:f>IF(D840="","",MAX(0,(Configuracion!$B$11-I840)/G840))</x:f>
      </x:c>
      <x:c r="L840" s="73" t="str">
        <x:f>IF(D840="","",C840+K840*60)</x:f>
      </x:c>
      <x:c r="M840" t="str">
        <x:f>IF(D840="","",IF(J840&gt;=Configuracion!$B$13,"DESLIZAR",IF(J840&gt;=Configuracion!$B$12,"PREPARARSE","NO DESLIZAR")))</x:f>
      </x:c>
      <x:c r="N840" s="41" t="str">
        <x:f>IF(D840="","",D840-$D$8)</x:f>
      </x:c>
      <x:c r="O840" s="46" t="str">
        <x:f>IF(D840="","",MAX(0,MIN(1,N840/Configuracion!$B$10)))</x:f>
      </x:c>
    </x:row>
    <x:row r="841">
      <x:c r="A841" s="34"/>
      <x:c r="B841" s="36"/>
      <x:c r="C841" s="72"/>
      <x:c r="D841" s="71"/>
      <x:c r="E841" s="41" t="str">
        <x:f>IF(D841="","",D841+273.15)</x:f>
      </x:c>
      <x:c r="F841" s="44" t="str">
        <x:f>IF(OR(C841="",D841="",C840=""),"",(C841-C840)/60)</x:f>
      </x:c>
      <x:c r="G841" s="44" t="str">
        <x:f>IF(D841="","",EXP(-Configuracion!$B$4/Configuracion!$B$5*(1/AVERAGE(E840:E841)-1/(Configuracion!$B$3+273.15))))</x:f>
      </x:c>
      <x:c r="H841" s="44" t="str">
        <x:f>IF(D841="","",F841*G841)</x:f>
      </x:c>
      <x:c r="I841" s="44" t="str">
        <x:f>IF(D841="","",I840+H841)</x:f>
      </x:c>
      <x:c r="J841" s="46" t="str">
        <x:f>IF(D841="","",MIN(1,I841/Configuracion!$B$11))</x:f>
      </x:c>
      <x:c r="K841" s="48" t="str">
        <x:f>IF(D841="","",MAX(0,(Configuracion!$B$11-I841)/G841))</x:f>
      </x:c>
      <x:c r="L841" s="73" t="str">
        <x:f>IF(D841="","",C841+K841*60)</x:f>
      </x:c>
      <x:c r="M841" t="str">
        <x:f>IF(D841="","",IF(J841&gt;=Configuracion!$B$13,"DESLIZAR",IF(J841&gt;=Configuracion!$B$12,"PREPARARSE","NO DESLIZAR")))</x:f>
      </x:c>
      <x:c r="N841" s="41" t="str">
        <x:f>IF(D841="","",D841-$D$8)</x:f>
      </x:c>
      <x:c r="O841" s="46" t="str">
        <x:f>IF(D841="","",MAX(0,MIN(1,N841/Configuracion!$B$10)))</x:f>
      </x:c>
    </x:row>
    <x:row r="842">
      <x:c r="A842" s="34"/>
      <x:c r="B842" s="36"/>
      <x:c r="C842" s="72"/>
      <x:c r="D842" s="71"/>
      <x:c r="E842" s="41" t="str">
        <x:f>IF(D842="","",D842+273.15)</x:f>
      </x:c>
      <x:c r="F842" s="44" t="str">
        <x:f>IF(OR(C842="",D842="",C841=""),"",(C842-C841)/60)</x:f>
      </x:c>
      <x:c r="G842" s="44" t="str">
        <x:f>IF(D842="","",EXP(-Configuracion!$B$4/Configuracion!$B$5*(1/AVERAGE(E841:E842)-1/(Configuracion!$B$3+273.15))))</x:f>
      </x:c>
      <x:c r="H842" s="44" t="str">
        <x:f>IF(D842="","",F842*G842)</x:f>
      </x:c>
      <x:c r="I842" s="44" t="str">
        <x:f>IF(D842="","",I841+H842)</x:f>
      </x:c>
      <x:c r="J842" s="46" t="str">
        <x:f>IF(D842="","",MIN(1,I842/Configuracion!$B$11))</x:f>
      </x:c>
      <x:c r="K842" s="48" t="str">
        <x:f>IF(D842="","",MAX(0,(Configuracion!$B$11-I842)/G842))</x:f>
      </x:c>
      <x:c r="L842" s="73" t="str">
        <x:f>IF(D842="","",C842+K842*60)</x:f>
      </x:c>
      <x:c r="M842" t="str">
        <x:f>IF(D842="","",IF(J842&gt;=Configuracion!$B$13,"DESLIZAR",IF(J842&gt;=Configuracion!$B$12,"PREPARARSE","NO DESLIZAR")))</x:f>
      </x:c>
      <x:c r="N842" s="41" t="str">
        <x:f>IF(D842="","",D842-$D$8)</x:f>
      </x:c>
      <x:c r="O842" s="46" t="str">
        <x:f>IF(D842="","",MAX(0,MIN(1,N842/Configuracion!$B$10)))</x:f>
      </x:c>
    </x:row>
    <x:row r="843">
      <x:c r="A843" s="34"/>
      <x:c r="B843" s="36"/>
      <x:c r="C843" s="72"/>
      <x:c r="D843" s="71"/>
      <x:c r="E843" s="41" t="str">
        <x:f>IF(D843="","",D843+273.15)</x:f>
      </x:c>
      <x:c r="F843" s="44" t="str">
        <x:f>IF(OR(C843="",D843="",C842=""),"",(C843-C842)/60)</x:f>
      </x:c>
      <x:c r="G843" s="44" t="str">
        <x:f>IF(D843="","",EXP(-Configuracion!$B$4/Configuracion!$B$5*(1/AVERAGE(E842:E843)-1/(Configuracion!$B$3+273.15))))</x:f>
      </x:c>
      <x:c r="H843" s="44" t="str">
        <x:f>IF(D843="","",F843*G843)</x:f>
      </x:c>
      <x:c r="I843" s="44" t="str">
        <x:f>IF(D843="","",I842+H843)</x:f>
      </x:c>
      <x:c r="J843" s="46" t="str">
        <x:f>IF(D843="","",MIN(1,I843/Configuracion!$B$11))</x:f>
      </x:c>
      <x:c r="K843" s="48" t="str">
        <x:f>IF(D843="","",MAX(0,(Configuracion!$B$11-I843)/G843))</x:f>
      </x:c>
      <x:c r="L843" s="73" t="str">
        <x:f>IF(D843="","",C843+K843*60)</x:f>
      </x:c>
      <x:c r="M843" t="str">
        <x:f>IF(D843="","",IF(J843&gt;=Configuracion!$B$13,"DESLIZAR",IF(J843&gt;=Configuracion!$B$12,"PREPARARSE","NO DESLIZAR")))</x:f>
      </x:c>
      <x:c r="N843" s="41" t="str">
        <x:f>IF(D843="","",D843-$D$8)</x:f>
      </x:c>
      <x:c r="O843" s="46" t="str">
        <x:f>IF(D843="","",MAX(0,MIN(1,N843/Configuracion!$B$10)))</x:f>
      </x:c>
    </x:row>
    <x:row r="844">
      <x:c r="A844" s="34"/>
      <x:c r="B844" s="36"/>
      <x:c r="C844" s="72"/>
      <x:c r="D844" s="71"/>
      <x:c r="E844" s="41" t="str">
        <x:f>IF(D844="","",D844+273.15)</x:f>
      </x:c>
      <x:c r="F844" s="44" t="str">
        <x:f>IF(OR(C844="",D844="",C843=""),"",(C844-C843)/60)</x:f>
      </x:c>
      <x:c r="G844" s="44" t="str">
        <x:f>IF(D844="","",EXP(-Configuracion!$B$4/Configuracion!$B$5*(1/AVERAGE(E843:E844)-1/(Configuracion!$B$3+273.15))))</x:f>
      </x:c>
      <x:c r="H844" s="44" t="str">
        <x:f>IF(D844="","",F844*G844)</x:f>
      </x:c>
      <x:c r="I844" s="44" t="str">
        <x:f>IF(D844="","",I843+H844)</x:f>
      </x:c>
      <x:c r="J844" s="46" t="str">
        <x:f>IF(D844="","",MIN(1,I844/Configuracion!$B$11))</x:f>
      </x:c>
      <x:c r="K844" s="48" t="str">
        <x:f>IF(D844="","",MAX(0,(Configuracion!$B$11-I844)/G844))</x:f>
      </x:c>
      <x:c r="L844" s="73" t="str">
        <x:f>IF(D844="","",C844+K844*60)</x:f>
      </x:c>
      <x:c r="M844" t="str">
        <x:f>IF(D844="","",IF(J844&gt;=Configuracion!$B$13,"DESLIZAR",IF(J844&gt;=Configuracion!$B$12,"PREPARARSE","NO DESLIZAR")))</x:f>
      </x:c>
      <x:c r="N844" s="41" t="str">
        <x:f>IF(D844="","",D844-$D$8)</x:f>
      </x:c>
      <x:c r="O844" s="46" t="str">
        <x:f>IF(D844="","",MAX(0,MIN(1,N844/Configuracion!$B$10)))</x:f>
      </x:c>
    </x:row>
    <x:row r="845">
      <x:c r="A845" s="34"/>
      <x:c r="B845" s="36"/>
      <x:c r="C845" s="72"/>
      <x:c r="D845" s="71"/>
      <x:c r="E845" s="41" t="str">
        <x:f>IF(D845="","",D845+273.15)</x:f>
      </x:c>
      <x:c r="F845" s="44" t="str">
        <x:f>IF(OR(C845="",D845="",C844=""),"",(C845-C844)/60)</x:f>
      </x:c>
      <x:c r="G845" s="44" t="str">
        <x:f>IF(D845="","",EXP(-Configuracion!$B$4/Configuracion!$B$5*(1/AVERAGE(E844:E845)-1/(Configuracion!$B$3+273.15))))</x:f>
      </x:c>
      <x:c r="H845" s="44" t="str">
        <x:f>IF(D845="","",F845*G845)</x:f>
      </x:c>
      <x:c r="I845" s="44" t="str">
        <x:f>IF(D845="","",I844+H845)</x:f>
      </x:c>
      <x:c r="J845" s="46" t="str">
        <x:f>IF(D845="","",MIN(1,I845/Configuracion!$B$11))</x:f>
      </x:c>
      <x:c r="K845" s="48" t="str">
        <x:f>IF(D845="","",MAX(0,(Configuracion!$B$11-I845)/G845))</x:f>
      </x:c>
      <x:c r="L845" s="73" t="str">
        <x:f>IF(D845="","",C845+K845*60)</x:f>
      </x:c>
      <x:c r="M845" t="str">
        <x:f>IF(D845="","",IF(J845&gt;=Configuracion!$B$13,"DESLIZAR",IF(J845&gt;=Configuracion!$B$12,"PREPARARSE","NO DESLIZAR")))</x:f>
      </x:c>
      <x:c r="N845" s="41" t="str">
        <x:f>IF(D845="","",D845-$D$8)</x:f>
      </x:c>
      <x:c r="O845" s="46" t="str">
        <x:f>IF(D845="","",MAX(0,MIN(1,N845/Configuracion!$B$10)))</x:f>
      </x:c>
    </x:row>
    <x:row r="846">
      <x:c r="A846" s="34"/>
      <x:c r="B846" s="36"/>
      <x:c r="C846" s="72"/>
      <x:c r="D846" s="71"/>
      <x:c r="E846" s="41" t="str">
        <x:f>IF(D846="","",D846+273.15)</x:f>
      </x:c>
      <x:c r="F846" s="44" t="str">
        <x:f>IF(OR(C846="",D846="",C845=""),"",(C846-C845)/60)</x:f>
      </x:c>
      <x:c r="G846" s="44" t="str">
        <x:f>IF(D846="","",EXP(-Configuracion!$B$4/Configuracion!$B$5*(1/AVERAGE(E845:E846)-1/(Configuracion!$B$3+273.15))))</x:f>
      </x:c>
      <x:c r="H846" s="44" t="str">
        <x:f>IF(D846="","",F846*G846)</x:f>
      </x:c>
      <x:c r="I846" s="44" t="str">
        <x:f>IF(D846="","",I845+H846)</x:f>
      </x:c>
      <x:c r="J846" s="46" t="str">
        <x:f>IF(D846="","",MIN(1,I846/Configuracion!$B$11))</x:f>
      </x:c>
      <x:c r="K846" s="48" t="str">
        <x:f>IF(D846="","",MAX(0,(Configuracion!$B$11-I846)/G846))</x:f>
      </x:c>
      <x:c r="L846" s="73" t="str">
        <x:f>IF(D846="","",C846+K846*60)</x:f>
      </x:c>
      <x:c r="M846" t="str">
        <x:f>IF(D846="","",IF(J846&gt;=Configuracion!$B$13,"DESLIZAR",IF(J846&gt;=Configuracion!$B$12,"PREPARARSE","NO DESLIZAR")))</x:f>
      </x:c>
      <x:c r="N846" s="41" t="str">
        <x:f>IF(D846="","",D846-$D$8)</x:f>
      </x:c>
      <x:c r="O846" s="46" t="str">
        <x:f>IF(D846="","",MAX(0,MIN(1,N846/Configuracion!$B$10)))</x:f>
      </x:c>
    </x:row>
    <x:row r="847">
      <x:c r="A847" s="34"/>
      <x:c r="B847" s="36"/>
      <x:c r="C847" s="72"/>
      <x:c r="D847" s="71"/>
      <x:c r="E847" s="41" t="str">
        <x:f>IF(D847="","",D847+273.15)</x:f>
      </x:c>
      <x:c r="F847" s="44" t="str">
        <x:f>IF(OR(C847="",D847="",C846=""),"",(C847-C846)/60)</x:f>
      </x:c>
      <x:c r="G847" s="44" t="str">
        <x:f>IF(D847="","",EXP(-Configuracion!$B$4/Configuracion!$B$5*(1/AVERAGE(E846:E847)-1/(Configuracion!$B$3+273.15))))</x:f>
      </x:c>
      <x:c r="H847" s="44" t="str">
        <x:f>IF(D847="","",F847*G847)</x:f>
      </x:c>
      <x:c r="I847" s="44" t="str">
        <x:f>IF(D847="","",I846+H847)</x:f>
      </x:c>
      <x:c r="J847" s="46" t="str">
        <x:f>IF(D847="","",MIN(1,I847/Configuracion!$B$11))</x:f>
      </x:c>
      <x:c r="K847" s="48" t="str">
        <x:f>IF(D847="","",MAX(0,(Configuracion!$B$11-I847)/G847))</x:f>
      </x:c>
      <x:c r="L847" s="73" t="str">
        <x:f>IF(D847="","",C847+K847*60)</x:f>
      </x:c>
      <x:c r="M847" t="str">
        <x:f>IF(D847="","",IF(J847&gt;=Configuracion!$B$13,"DESLIZAR",IF(J847&gt;=Configuracion!$B$12,"PREPARARSE","NO DESLIZAR")))</x:f>
      </x:c>
      <x:c r="N847" s="41" t="str">
        <x:f>IF(D847="","",D847-$D$8)</x:f>
      </x:c>
      <x:c r="O847" s="46" t="str">
        <x:f>IF(D847="","",MAX(0,MIN(1,N847/Configuracion!$B$10)))</x:f>
      </x:c>
    </x:row>
    <x:row r="848">
      <x:c r="A848" s="34"/>
      <x:c r="B848" s="36"/>
      <x:c r="C848" s="72"/>
      <x:c r="D848" s="71"/>
      <x:c r="E848" s="41" t="str">
        <x:f>IF(D848="","",D848+273.15)</x:f>
      </x:c>
      <x:c r="F848" s="44" t="str">
        <x:f>IF(OR(C848="",D848="",C847=""),"",(C848-C847)/60)</x:f>
      </x:c>
      <x:c r="G848" s="44" t="str">
        <x:f>IF(D848="","",EXP(-Configuracion!$B$4/Configuracion!$B$5*(1/AVERAGE(E847:E848)-1/(Configuracion!$B$3+273.15))))</x:f>
      </x:c>
      <x:c r="H848" s="44" t="str">
        <x:f>IF(D848="","",F848*G848)</x:f>
      </x:c>
      <x:c r="I848" s="44" t="str">
        <x:f>IF(D848="","",I847+H848)</x:f>
      </x:c>
      <x:c r="J848" s="46" t="str">
        <x:f>IF(D848="","",MIN(1,I848/Configuracion!$B$11))</x:f>
      </x:c>
      <x:c r="K848" s="48" t="str">
        <x:f>IF(D848="","",MAX(0,(Configuracion!$B$11-I848)/G848))</x:f>
      </x:c>
      <x:c r="L848" s="73" t="str">
        <x:f>IF(D848="","",C848+K848*60)</x:f>
      </x:c>
      <x:c r="M848" t="str">
        <x:f>IF(D848="","",IF(J848&gt;=Configuracion!$B$13,"DESLIZAR",IF(J848&gt;=Configuracion!$B$12,"PREPARARSE","NO DESLIZAR")))</x:f>
      </x:c>
      <x:c r="N848" s="41" t="str">
        <x:f>IF(D848="","",D848-$D$8)</x:f>
      </x:c>
      <x:c r="O848" s="46" t="str">
        <x:f>IF(D848="","",MAX(0,MIN(1,N848/Configuracion!$B$10)))</x:f>
      </x:c>
    </x:row>
    <x:row r="849">
      <x:c r="A849" s="34"/>
      <x:c r="B849" s="36"/>
      <x:c r="C849" s="72"/>
      <x:c r="D849" s="71"/>
      <x:c r="E849" s="41" t="str">
        <x:f>IF(D849="","",D849+273.15)</x:f>
      </x:c>
      <x:c r="F849" s="44" t="str">
        <x:f>IF(OR(C849="",D849="",C848=""),"",(C849-C848)/60)</x:f>
      </x:c>
      <x:c r="G849" s="44" t="str">
        <x:f>IF(D849="","",EXP(-Configuracion!$B$4/Configuracion!$B$5*(1/AVERAGE(E848:E849)-1/(Configuracion!$B$3+273.15))))</x:f>
      </x:c>
      <x:c r="H849" s="44" t="str">
        <x:f>IF(D849="","",F849*G849)</x:f>
      </x:c>
      <x:c r="I849" s="44" t="str">
        <x:f>IF(D849="","",I848+H849)</x:f>
      </x:c>
      <x:c r="J849" s="46" t="str">
        <x:f>IF(D849="","",MIN(1,I849/Configuracion!$B$11))</x:f>
      </x:c>
      <x:c r="K849" s="48" t="str">
        <x:f>IF(D849="","",MAX(0,(Configuracion!$B$11-I849)/G849))</x:f>
      </x:c>
      <x:c r="L849" s="73" t="str">
        <x:f>IF(D849="","",C849+K849*60)</x:f>
      </x:c>
      <x:c r="M849" t="str">
        <x:f>IF(D849="","",IF(J849&gt;=Configuracion!$B$13,"DESLIZAR",IF(J849&gt;=Configuracion!$B$12,"PREPARARSE","NO DESLIZAR")))</x:f>
      </x:c>
      <x:c r="N849" s="41" t="str">
        <x:f>IF(D849="","",D849-$D$8)</x:f>
      </x:c>
      <x:c r="O849" s="46" t="str">
        <x:f>IF(D849="","",MAX(0,MIN(1,N849/Configuracion!$B$10)))</x:f>
      </x:c>
    </x:row>
    <x:row r="850">
      <x:c r="A850" s="34"/>
      <x:c r="B850" s="36"/>
      <x:c r="C850" s="72"/>
      <x:c r="D850" s="71"/>
      <x:c r="E850" s="41" t="str">
        <x:f>IF(D850="","",D850+273.15)</x:f>
      </x:c>
      <x:c r="F850" s="44" t="str">
        <x:f>IF(OR(C850="",D850="",C849=""),"",(C850-C849)/60)</x:f>
      </x:c>
      <x:c r="G850" s="44" t="str">
        <x:f>IF(D850="","",EXP(-Configuracion!$B$4/Configuracion!$B$5*(1/AVERAGE(E849:E850)-1/(Configuracion!$B$3+273.15))))</x:f>
      </x:c>
      <x:c r="H850" s="44" t="str">
        <x:f>IF(D850="","",F850*G850)</x:f>
      </x:c>
      <x:c r="I850" s="44" t="str">
        <x:f>IF(D850="","",I849+H850)</x:f>
      </x:c>
      <x:c r="J850" s="46" t="str">
        <x:f>IF(D850="","",MIN(1,I850/Configuracion!$B$11))</x:f>
      </x:c>
      <x:c r="K850" s="48" t="str">
        <x:f>IF(D850="","",MAX(0,(Configuracion!$B$11-I850)/G850))</x:f>
      </x:c>
      <x:c r="L850" s="73" t="str">
        <x:f>IF(D850="","",C850+K850*60)</x:f>
      </x:c>
      <x:c r="M850" t="str">
        <x:f>IF(D850="","",IF(J850&gt;=Configuracion!$B$13,"DESLIZAR",IF(J850&gt;=Configuracion!$B$12,"PREPARARSE","NO DESLIZAR")))</x:f>
      </x:c>
      <x:c r="N850" s="41" t="str">
        <x:f>IF(D850="","",D850-$D$8)</x:f>
      </x:c>
      <x:c r="O850" s="46" t="str">
        <x:f>IF(D850="","",MAX(0,MIN(1,N850/Configuracion!$B$10)))</x:f>
      </x:c>
    </x:row>
    <x:row r="851">
      <x:c r="A851" s="34"/>
      <x:c r="B851" s="36"/>
      <x:c r="C851" s="72"/>
      <x:c r="D851" s="71"/>
      <x:c r="E851" s="41" t="str">
        <x:f>IF(D851="","",D851+273.15)</x:f>
      </x:c>
      <x:c r="F851" s="44" t="str">
        <x:f>IF(OR(C851="",D851="",C850=""),"",(C851-C850)/60)</x:f>
      </x:c>
      <x:c r="G851" s="44" t="str">
        <x:f>IF(D851="","",EXP(-Configuracion!$B$4/Configuracion!$B$5*(1/AVERAGE(E850:E851)-1/(Configuracion!$B$3+273.15))))</x:f>
      </x:c>
      <x:c r="H851" s="44" t="str">
        <x:f>IF(D851="","",F851*G851)</x:f>
      </x:c>
      <x:c r="I851" s="44" t="str">
        <x:f>IF(D851="","",I850+H851)</x:f>
      </x:c>
      <x:c r="J851" s="46" t="str">
        <x:f>IF(D851="","",MIN(1,I851/Configuracion!$B$11))</x:f>
      </x:c>
      <x:c r="K851" s="48" t="str">
        <x:f>IF(D851="","",MAX(0,(Configuracion!$B$11-I851)/G851))</x:f>
      </x:c>
      <x:c r="L851" s="73" t="str">
        <x:f>IF(D851="","",C851+K851*60)</x:f>
      </x:c>
      <x:c r="M851" t="str">
        <x:f>IF(D851="","",IF(J851&gt;=Configuracion!$B$13,"DESLIZAR",IF(J851&gt;=Configuracion!$B$12,"PREPARARSE","NO DESLIZAR")))</x:f>
      </x:c>
      <x:c r="N851" s="41" t="str">
        <x:f>IF(D851="","",D851-$D$8)</x:f>
      </x:c>
      <x:c r="O851" s="46" t="str">
        <x:f>IF(D851="","",MAX(0,MIN(1,N851/Configuracion!$B$10)))</x:f>
      </x:c>
    </x:row>
    <x:row r="852">
      <x:c r="A852" s="34"/>
      <x:c r="B852" s="36"/>
      <x:c r="C852" s="72"/>
      <x:c r="D852" s="71"/>
      <x:c r="E852" s="41" t="str">
        <x:f>IF(D852="","",D852+273.15)</x:f>
      </x:c>
      <x:c r="F852" s="44" t="str">
        <x:f>IF(OR(C852="",D852="",C851=""),"",(C852-C851)/60)</x:f>
      </x:c>
      <x:c r="G852" s="44" t="str">
        <x:f>IF(D852="","",EXP(-Configuracion!$B$4/Configuracion!$B$5*(1/AVERAGE(E851:E852)-1/(Configuracion!$B$3+273.15))))</x:f>
      </x:c>
      <x:c r="H852" s="44" t="str">
        <x:f>IF(D852="","",F852*G852)</x:f>
      </x:c>
      <x:c r="I852" s="44" t="str">
        <x:f>IF(D852="","",I851+H852)</x:f>
      </x:c>
      <x:c r="J852" s="46" t="str">
        <x:f>IF(D852="","",MIN(1,I852/Configuracion!$B$11))</x:f>
      </x:c>
      <x:c r="K852" s="48" t="str">
        <x:f>IF(D852="","",MAX(0,(Configuracion!$B$11-I852)/G852))</x:f>
      </x:c>
      <x:c r="L852" s="73" t="str">
        <x:f>IF(D852="","",C852+K852*60)</x:f>
      </x:c>
      <x:c r="M852" t="str">
        <x:f>IF(D852="","",IF(J852&gt;=Configuracion!$B$13,"DESLIZAR",IF(J852&gt;=Configuracion!$B$12,"PREPARARSE","NO DESLIZAR")))</x:f>
      </x:c>
      <x:c r="N852" s="41" t="str">
        <x:f>IF(D852="","",D852-$D$8)</x:f>
      </x:c>
      <x:c r="O852" s="46" t="str">
        <x:f>IF(D852="","",MAX(0,MIN(1,N852/Configuracion!$B$10)))</x:f>
      </x:c>
    </x:row>
    <x:row r="853">
      <x:c r="A853" s="34"/>
      <x:c r="B853" s="36"/>
      <x:c r="C853" s="72"/>
      <x:c r="D853" s="71"/>
      <x:c r="E853" s="41" t="str">
        <x:f>IF(D853="","",D853+273.15)</x:f>
      </x:c>
      <x:c r="F853" s="44" t="str">
        <x:f>IF(OR(C853="",D853="",C852=""),"",(C853-C852)/60)</x:f>
      </x:c>
      <x:c r="G853" s="44" t="str">
        <x:f>IF(D853="","",EXP(-Configuracion!$B$4/Configuracion!$B$5*(1/AVERAGE(E852:E853)-1/(Configuracion!$B$3+273.15))))</x:f>
      </x:c>
      <x:c r="H853" s="44" t="str">
        <x:f>IF(D853="","",F853*G853)</x:f>
      </x:c>
      <x:c r="I853" s="44" t="str">
        <x:f>IF(D853="","",I852+H853)</x:f>
      </x:c>
      <x:c r="J853" s="46" t="str">
        <x:f>IF(D853="","",MIN(1,I853/Configuracion!$B$11))</x:f>
      </x:c>
      <x:c r="K853" s="48" t="str">
        <x:f>IF(D853="","",MAX(0,(Configuracion!$B$11-I853)/G853))</x:f>
      </x:c>
      <x:c r="L853" s="73" t="str">
        <x:f>IF(D853="","",C853+K853*60)</x:f>
      </x:c>
      <x:c r="M853" t="str">
        <x:f>IF(D853="","",IF(J853&gt;=Configuracion!$B$13,"DESLIZAR",IF(J853&gt;=Configuracion!$B$12,"PREPARARSE","NO DESLIZAR")))</x:f>
      </x:c>
      <x:c r="N853" s="41" t="str">
        <x:f>IF(D853="","",D853-$D$8)</x:f>
      </x:c>
      <x:c r="O853" s="46" t="str">
        <x:f>IF(D853="","",MAX(0,MIN(1,N853/Configuracion!$B$10)))</x:f>
      </x:c>
    </x:row>
    <x:row r="854">
      <x:c r="A854" s="34"/>
      <x:c r="B854" s="36"/>
      <x:c r="C854" s="72"/>
      <x:c r="D854" s="71"/>
      <x:c r="E854" s="41" t="str">
        <x:f>IF(D854="","",D854+273.15)</x:f>
      </x:c>
      <x:c r="F854" s="44" t="str">
        <x:f>IF(OR(C854="",D854="",C853=""),"",(C854-C853)/60)</x:f>
      </x:c>
      <x:c r="G854" s="44" t="str">
        <x:f>IF(D854="","",EXP(-Configuracion!$B$4/Configuracion!$B$5*(1/AVERAGE(E853:E854)-1/(Configuracion!$B$3+273.15))))</x:f>
      </x:c>
      <x:c r="H854" s="44" t="str">
        <x:f>IF(D854="","",F854*G854)</x:f>
      </x:c>
      <x:c r="I854" s="44" t="str">
        <x:f>IF(D854="","",I853+H854)</x:f>
      </x:c>
      <x:c r="J854" s="46" t="str">
        <x:f>IF(D854="","",MIN(1,I854/Configuracion!$B$11))</x:f>
      </x:c>
      <x:c r="K854" s="48" t="str">
        <x:f>IF(D854="","",MAX(0,(Configuracion!$B$11-I854)/G854))</x:f>
      </x:c>
      <x:c r="L854" s="73" t="str">
        <x:f>IF(D854="","",C854+K854*60)</x:f>
      </x:c>
      <x:c r="M854" t="str">
        <x:f>IF(D854="","",IF(J854&gt;=Configuracion!$B$13,"DESLIZAR",IF(J854&gt;=Configuracion!$B$12,"PREPARARSE","NO DESLIZAR")))</x:f>
      </x:c>
      <x:c r="N854" s="41" t="str">
        <x:f>IF(D854="","",D854-$D$8)</x:f>
      </x:c>
      <x:c r="O854" s="46" t="str">
        <x:f>IF(D854="","",MAX(0,MIN(1,N854/Configuracion!$B$10)))</x:f>
      </x:c>
    </x:row>
    <x:row r="855">
      <x:c r="A855" s="34"/>
      <x:c r="B855" s="36"/>
      <x:c r="C855" s="72"/>
      <x:c r="D855" s="71"/>
      <x:c r="E855" s="41" t="str">
        <x:f>IF(D855="","",D855+273.15)</x:f>
      </x:c>
      <x:c r="F855" s="44" t="str">
        <x:f>IF(OR(C855="",D855="",C854=""),"",(C855-C854)/60)</x:f>
      </x:c>
      <x:c r="G855" s="44" t="str">
        <x:f>IF(D855="","",EXP(-Configuracion!$B$4/Configuracion!$B$5*(1/AVERAGE(E854:E855)-1/(Configuracion!$B$3+273.15))))</x:f>
      </x:c>
      <x:c r="H855" s="44" t="str">
        <x:f>IF(D855="","",F855*G855)</x:f>
      </x:c>
      <x:c r="I855" s="44" t="str">
        <x:f>IF(D855="","",I854+H855)</x:f>
      </x:c>
      <x:c r="J855" s="46" t="str">
        <x:f>IF(D855="","",MIN(1,I855/Configuracion!$B$11))</x:f>
      </x:c>
      <x:c r="K855" s="48" t="str">
        <x:f>IF(D855="","",MAX(0,(Configuracion!$B$11-I855)/G855))</x:f>
      </x:c>
      <x:c r="L855" s="73" t="str">
        <x:f>IF(D855="","",C855+K855*60)</x:f>
      </x:c>
      <x:c r="M855" t="str">
        <x:f>IF(D855="","",IF(J855&gt;=Configuracion!$B$13,"DESLIZAR",IF(J855&gt;=Configuracion!$B$12,"PREPARARSE","NO DESLIZAR")))</x:f>
      </x:c>
      <x:c r="N855" s="41" t="str">
        <x:f>IF(D855="","",D855-$D$8)</x:f>
      </x:c>
      <x:c r="O855" s="46" t="str">
        <x:f>IF(D855="","",MAX(0,MIN(1,N855/Configuracion!$B$10)))</x:f>
      </x:c>
    </x:row>
    <x:row r="856">
      <x:c r="A856" s="34"/>
      <x:c r="B856" s="36"/>
      <x:c r="C856" s="72"/>
      <x:c r="D856" s="71"/>
      <x:c r="E856" s="41" t="str">
        <x:f>IF(D856="","",D856+273.15)</x:f>
      </x:c>
      <x:c r="F856" s="44" t="str">
        <x:f>IF(OR(C856="",D856="",C855=""),"",(C856-C855)/60)</x:f>
      </x:c>
      <x:c r="G856" s="44" t="str">
        <x:f>IF(D856="","",EXP(-Configuracion!$B$4/Configuracion!$B$5*(1/AVERAGE(E855:E856)-1/(Configuracion!$B$3+273.15))))</x:f>
      </x:c>
      <x:c r="H856" s="44" t="str">
        <x:f>IF(D856="","",F856*G856)</x:f>
      </x:c>
      <x:c r="I856" s="44" t="str">
        <x:f>IF(D856="","",I855+H856)</x:f>
      </x:c>
      <x:c r="J856" s="46" t="str">
        <x:f>IF(D856="","",MIN(1,I856/Configuracion!$B$11))</x:f>
      </x:c>
      <x:c r="K856" s="48" t="str">
        <x:f>IF(D856="","",MAX(0,(Configuracion!$B$11-I856)/G856))</x:f>
      </x:c>
      <x:c r="L856" s="73" t="str">
        <x:f>IF(D856="","",C856+K856*60)</x:f>
      </x:c>
      <x:c r="M856" t="str">
        <x:f>IF(D856="","",IF(J856&gt;=Configuracion!$B$13,"DESLIZAR",IF(J856&gt;=Configuracion!$B$12,"PREPARARSE","NO DESLIZAR")))</x:f>
      </x:c>
      <x:c r="N856" s="41" t="str">
        <x:f>IF(D856="","",D856-$D$8)</x:f>
      </x:c>
      <x:c r="O856" s="46" t="str">
        <x:f>IF(D856="","",MAX(0,MIN(1,N856/Configuracion!$B$10)))</x:f>
      </x:c>
    </x:row>
    <x:row r="857">
      <x:c r="A857" s="34"/>
      <x:c r="B857" s="36"/>
      <x:c r="C857" s="72"/>
      <x:c r="D857" s="71"/>
      <x:c r="E857" s="41" t="str">
        <x:f>IF(D857="","",D857+273.15)</x:f>
      </x:c>
      <x:c r="F857" s="44" t="str">
        <x:f>IF(OR(C857="",D857="",C856=""),"",(C857-C856)/60)</x:f>
      </x:c>
      <x:c r="G857" s="44" t="str">
        <x:f>IF(D857="","",EXP(-Configuracion!$B$4/Configuracion!$B$5*(1/AVERAGE(E856:E857)-1/(Configuracion!$B$3+273.15))))</x:f>
      </x:c>
      <x:c r="H857" s="44" t="str">
        <x:f>IF(D857="","",F857*G857)</x:f>
      </x:c>
      <x:c r="I857" s="44" t="str">
        <x:f>IF(D857="","",I856+H857)</x:f>
      </x:c>
      <x:c r="J857" s="46" t="str">
        <x:f>IF(D857="","",MIN(1,I857/Configuracion!$B$11))</x:f>
      </x:c>
      <x:c r="K857" s="48" t="str">
        <x:f>IF(D857="","",MAX(0,(Configuracion!$B$11-I857)/G857))</x:f>
      </x:c>
      <x:c r="L857" s="73" t="str">
        <x:f>IF(D857="","",C857+K857*60)</x:f>
      </x:c>
      <x:c r="M857" t="str">
        <x:f>IF(D857="","",IF(J857&gt;=Configuracion!$B$13,"DESLIZAR",IF(J857&gt;=Configuracion!$B$12,"PREPARARSE","NO DESLIZAR")))</x:f>
      </x:c>
      <x:c r="N857" s="41" t="str">
        <x:f>IF(D857="","",D857-$D$8)</x:f>
      </x:c>
      <x:c r="O857" s="46" t="str">
        <x:f>IF(D857="","",MAX(0,MIN(1,N857/Configuracion!$B$10)))</x:f>
      </x:c>
    </x:row>
    <x:row r="858">
      <x:c r="A858" s="34"/>
      <x:c r="B858" s="36"/>
      <x:c r="C858" s="72"/>
      <x:c r="D858" s="71"/>
      <x:c r="E858" s="41" t="str">
        <x:f>IF(D858="","",D858+273.15)</x:f>
      </x:c>
      <x:c r="F858" s="44" t="str">
        <x:f>IF(OR(C858="",D858="",C857=""),"",(C858-C857)/60)</x:f>
      </x:c>
      <x:c r="G858" s="44" t="str">
        <x:f>IF(D858="","",EXP(-Configuracion!$B$4/Configuracion!$B$5*(1/AVERAGE(E857:E858)-1/(Configuracion!$B$3+273.15))))</x:f>
      </x:c>
      <x:c r="H858" s="44" t="str">
        <x:f>IF(D858="","",F858*G858)</x:f>
      </x:c>
      <x:c r="I858" s="44" t="str">
        <x:f>IF(D858="","",I857+H858)</x:f>
      </x:c>
      <x:c r="J858" s="46" t="str">
        <x:f>IF(D858="","",MIN(1,I858/Configuracion!$B$11))</x:f>
      </x:c>
      <x:c r="K858" s="48" t="str">
        <x:f>IF(D858="","",MAX(0,(Configuracion!$B$11-I858)/G858))</x:f>
      </x:c>
      <x:c r="L858" s="73" t="str">
        <x:f>IF(D858="","",C858+K858*60)</x:f>
      </x:c>
      <x:c r="M858" t="str">
        <x:f>IF(D858="","",IF(J858&gt;=Configuracion!$B$13,"DESLIZAR",IF(J858&gt;=Configuracion!$B$12,"PREPARARSE","NO DESLIZAR")))</x:f>
      </x:c>
      <x:c r="N858" s="41" t="str">
        <x:f>IF(D858="","",D858-$D$8)</x:f>
      </x:c>
      <x:c r="O858" s="46" t="str">
        <x:f>IF(D858="","",MAX(0,MIN(1,N858/Configuracion!$B$10)))</x:f>
      </x:c>
    </x:row>
    <x:row r="859">
      <x:c r="A859" s="34"/>
      <x:c r="B859" s="36"/>
      <x:c r="C859" s="72"/>
      <x:c r="D859" s="71"/>
      <x:c r="E859" s="41" t="str">
        <x:f>IF(D859="","",D859+273.15)</x:f>
      </x:c>
      <x:c r="F859" s="44" t="str">
        <x:f>IF(OR(C859="",D859="",C858=""),"",(C859-C858)/60)</x:f>
      </x:c>
      <x:c r="G859" s="44" t="str">
        <x:f>IF(D859="","",EXP(-Configuracion!$B$4/Configuracion!$B$5*(1/AVERAGE(E858:E859)-1/(Configuracion!$B$3+273.15))))</x:f>
      </x:c>
      <x:c r="H859" s="44" t="str">
        <x:f>IF(D859="","",F859*G859)</x:f>
      </x:c>
      <x:c r="I859" s="44" t="str">
        <x:f>IF(D859="","",I858+H859)</x:f>
      </x:c>
      <x:c r="J859" s="46" t="str">
        <x:f>IF(D859="","",MIN(1,I859/Configuracion!$B$11))</x:f>
      </x:c>
      <x:c r="K859" s="48" t="str">
        <x:f>IF(D859="","",MAX(0,(Configuracion!$B$11-I859)/G859))</x:f>
      </x:c>
      <x:c r="L859" s="73" t="str">
        <x:f>IF(D859="","",C859+K859*60)</x:f>
      </x:c>
      <x:c r="M859" t="str">
        <x:f>IF(D859="","",IF(J859&gt;=Configuracion!$B$13,"DESLIZAR",IF(J859&gt;=Configuracion!$B$12,"PREPARARSE","NO DESLIZAR")))</x:f>
      </x:c>
      <x:c r="N859" s="41" t="str">
        <x:f>IF(D859="","",D859-$D$8)</x:f>
      </x:c>
      <x:c r="O859" s="46" t="str">
        <x:f>IF(D859="","",MAX(0,MIN(1,N859/Configuracion!$B$10)))</x:f>
      </x:c>
    </x:row>
    <x:row r="860">
      <x:c r="A860" s="34"/>
      <x:c r="B860" s="36"/>
      <x:c r="C860" s="72"/>
      <x:c r="D860" s="71"/>
      <x:c r="E860" s="41" t="str">
        <x:f>IF(D860="","",D860+273.15)</x:f>
      </x:c>
      <x:c r="F860" s="44" t="str">
        <x:f>IF(OR(C860="",D860="",C859=""),"",(C860-C859)/60)</x:f>
      </x:c>
      <x:c r="G860" s="44" t="str">
        <x:f>IF(D860="","",EXP(-Configuracion!$B$4/Configuracion!$B$5*(1/AVERAGE(E859:E860)-1/(Configuracion!$B$3+273.15))))</x:f>
      </x:c>
      <x:c r="H860" s="44" t="str">
        <x:f>IF(D860="","",F860*G860)</x:f>
      </x:c>
      <x:c r="I860" s="44" t="str">
        <x:f>IF(D860="","",I859+H860)</x:f>
      </x:c>
      <x:c r="J860" s="46" t="str">
        <x:f>IF(D860="","",MIN(1,I860/Configuracion!$B$11))</x:f>
      </x:c>
      <x:c r="K860" s="48" t="str">
        <x:f>IF(D860="","",MAX(0,(Configuracion!$B$11-I860)/G860))</x:f>
      </x:c>
      <x:c r="L860" s="73" t="str">
        <x:f>IF(D860="","",C860+K860*60)</x:f>
      </x:c>
      <x:c r="M860" t="str">
        <x:f>IF(D860="","",IF(J860&gt;=Configuracion!$B$13,"DESLIZAR",IF(J860&gt;=Configuracion!$B$12,"PREPARARSE","NO DESLIZAR")))</x:f>
      </x:c>
      <x:c r="N860" s="41" t="str">
        <x:f>IF(D860="","",D860-$D$8)</x:f>
      </x:c>
      <x:c r="O860" s="46" t="str">
        <x:f>IF(D860="","",MAX(0,MIN(1,N860/Configuracion!$B$10)))</x:f>
      </x:c>
    </x:row>
    <x:row r="861">
      <x:c r="A861" s="34"/>
      <x:c r="B861" s="36"/>
      <x:c r="C861" s="72"/>
      <x:c r="D861" s="71"/>
      <x:c r="E861" s="41" t="str">
        <x:f>IF(D861="","",D861+273.15)</x:f>
      </x:c>
      <x:c r="F861" s="44" t="str">
        <x:f>IF(OR(C861="",D861="",C860=""),"",(C861-C860)/60)</x:f>
      </x:c>
      <x:c r="G861" s="44" t="str">
        <x:f>IF(D861="","",EXP(-Configuracion!$B$4/Configuracion!$B$5*(1/AVERAGE(E860:E861)-1/(Configuracion!$B$3+273.15))))</x:f>
      </x:c>
      <x:c r="H861" s="44" t="str">
        <x:f>IF(D861="","",F861*G861)</x:f>
      </x:c>
      <x:c r="I861" s="44" t="str">
        <x:f>IF(D861="","",I860+H861)</x:f>
      </x:c>
      <x:c r="J861" s="46" t="str">
        <x:f>IF(D861="","",MIN(1,I861/Configuracion!$B$11))</x:f>
      </x:c>
      <x:c r="K861" s="48" t="str">
        <x:f>IF(D861="","",MAX(0,(Configuracion!$B$11-I861)/G861))</x:f>
      </x:c>
      <x:c r="L861" s="73" t="str">
        <x:f>IF(D861="","",C861+K861*60)</x:f>
      </x:c>
      <x:c r="M861" t="str">
        <x:f>IF(D861="","",IF(J861&gt;=Configuracion!$B$13,"DESLIZAR",IF(J861&gt;=Configuracion!$B$12,"PREPARARSE","NO DESLIZAR")))</x:f>
      </x:c>
      <x:c r="N861" s="41" t="str">
        <x:f>IF(D861="","",D861-$D$8)</x:f>
      </x:c>
      <x:c r="O861" s="46" t="str">
        <x:f>IF(D861="","",MAX(0,MIN(1,N861/Configuracion!$B$10)))</x:f>
      </x:c>
    </x:row>
    <x:row r="862">
      <x:c r="A862" s="34"/>
      <x:c r="B862" s="36"/>
      <x:c r="C862" s="72"/>
      <x:c r="D862" s="71"/>
      <x:c r="E862" s="41" t="str">
        <x:f>IF(D862="","",D862+273.15)</x:f>
      </x:c>
      <x:c r="F862" s="44" t="str">
        <x:f>IF(OR(C862="",D862="",C861=""),"",(C862-C861)/60)</x:f>
      </x:c>
      <x:c r="G862" s="44" t="str">
        <x:f>IF(D862="","",EXP(-Configuracion!$B$4/Configuracion!$B$5*(1/AVERAGE(E861:E862)-1/(Configuracion!$B$3+273.15))))</x:f>
      </x:c>
      <x:c r="H862" s="44" t="str">
        <x:f>IF(D862="","",F862*G862)</x:f>
      </x:c>
      <x:c r="I862" s="44" t="str">
        <x:f>IF(D862="","",I861+H862)</x:f>
      </x:c>
      <x:c r="J862" s="46" t="str">
        <x:f>IF(D862="","",MIN(1,I862/Configuracion!$B$11))</x:f>
      </x:c>
      <x:c r="K862" s="48" t="str">
        <x:f>IF(D862="","",MAX(0,(Configuracion!$B$11-I862)/G862))</x:f>
      </x:c>
      <x:c r="L862" s="73" t="str">
        <x:f>IF(D862="","",C862+K862*60)</x:f>
      </x:c>
      <x:c r="M862" t="str">
        <x:f>IF(D862="","",IF(J862&gt;=Configuracion!$B$13,"DESLIZAR",IF(J862&gt;=Configuracion!$B$12,"PREPARARSE","NO DESLIZAR")))</x:f>
      </x:c>
      <x:c r="N862" s="41" t="str">
        <x:f>IF(D862="","",D862-$D$8)</x:f>
      </x:c>
      <x:c r="O862" s="46" t="str">
        <x:f>IF(D862="","",MAX(0,MIN(1,N862/Configuracion!$B$10)))</x:f>
      </x:c>
    </x:row>
    <x:row r="863">
      <x:c r="A863" s="34"/>
      <x:c r="B863" s="36"/>
      <x:c r="C863" s="72"/>
      <x:c r="D863" s="71"/>
      <x:c r="E863" s="41" t="str">
        <x:f>IF(D863="","",D863+273.15)</x:f>
      </x:c>
      <x:c r="F863" s="44" t="str">
        <x:f>IF(OR(C863="",D863="",C862=""),"",(C863-C862)/60)</x:f>
      </x:c>
      <x:c r="G863" s="44" t="str">
        <x:f>IF(D863="","",EXP(-Configuracion!$B$4/Configuracion!$B$5*(1/AVERAGE(E862:E863)-1/(Configuracion!$B$3+273.15))))</x:f>
      </x:c>
      <x:c r="H863" s="44" t="str">
        <x:f>IF(D863="","",F863*G863)</x:f>
      </x:c>
      <x:c r="I863" s="44" t="str">
        <x:f>IF(D863="","",I862+H863)</x:f>
      </x:c>
      <x:c r="J863" s="46" t="str">
        <x:f>IF(D863="","",MIN(1,I863/Configuracion!$B$11))</x:f>
      </x:c>
      <x:c r="K863" s="48" t="str">
        <x:f>IF(D863="","",MAX(0,(Configuracion!$B$11-I863)/G863))</x:f>
      </x:c>
      <x:c r="L863" s="73" t="str">
        <x:f>IF(D863="","",C863+K863*60)</x:f>
      </x:c>
      <x:c r="M863" t="str">
        <x:f>IF(D863="","",IF(J863&gt;=Configuracion!$B$13,"DESLIZAR",IF(J863&gt;=Configuracion!$B$12,"PREPARARSE","NO DESLIZAR")))</x:f>
      </x:c>
      <x:c r="N863" s="41" t="str">
        <x:f>IF(D863="","",D863-$D$8)</x:f>
      </x:c>
      <x:c r="O863" s="46" t="str">
        <x:f>IF(D863="","",MAX(0,MIN(1,N863/Configuracion!$B$10)))</x:f>
      </x:c>
    </x:row>
    <x:row r="864">
      <x:c r="A864" s="34"/>
      <x:c r="B864" s="36"/>
      <x:c r="C864" s="72"/>
      <x:c r="D864" s="71"/>
      <x:c r="E864" s="41" t="str">
        <x:f>IF(D864="","",D864+273.15)</x:f>
      </x:c>
      <x:c r="F864" s="44" t="str">
        <x:f>IF(OR(C864="",D864="",C863=""),"",(C864-C863)/60)</x:f>
      </x:c>
      <x:c r="G864" s="44" t="str">
        <x:f>IF(D864="","",EXP(-Configuracion!$B$4/Configuracion!$B$5*(1/AVERAGE(E863:E864)-1/(Configuracion!$B$3+273.15))))</x:f>
      </x:c>
      <x:c r="H864" s="44" t="str">
        <x:f>IF(D864="","",F864*G864)</x:f>
      </x:c>
      <x:c r="I864" s="44" t="str">
        <x:f>IF(D864="","",I863+H864)</x:f>
      </x:c>
      <x:c r="J864" s="46" t="str">
        <x:f>IF(D864="","",MIN(1,I864/Configuracion!$B$11))</x:f>
      </x:c>
      <x:c r="K864" s="48" t="str">
        <x:f>IF(D864="","",MAX(0,(Configuracion!$B$11-I864)/G864))</x:f>
      </x:c>
      <x:c r="L864" s="73" t="str">
        <x:f>IF(D864="","",C864+K864*60)</x:f>
      </x:c>
      <x:c r="M864" t="str">
        <x:f>IF(D864="","",IF(J864&gt;=Configuracion!$B$13,"DESLIZAR",IF(J864&gt;=Configuracion!$B$12,"PREPARARSE","NO DESLIZAR")))</x:f>
      </x:c>
      <x:c r="N864" s="41" t="str">
        <x:f>IF(D864="","",D864-$D$8)</x:f>
      </x:c>
      <x:c r="O864" s="46" t="str">
        <x:f>IF(D864="","",MAX(0,MIN(1,N864/Configuracion!$B$10)))</x:f>
      </x:c>
    </x:row>
    <x:row r="865">
      <x:c r="A865" s="34"/>
      <x:c r="B865" s="36"/>
      <x:c r="C865" s="72"/>
      <x:c r="D865" s="71"/>
      <x:c r="E865" s="41" t="str">
        <x:f>IF(D865="","",D865+273.15)</x:f>
      </x:c>
      <x:c r="F865" s="44" t="str">
        <x:f>IF(OR(C865="",D865="",C864=""),"",(C865-C864)/60)</x:f>
      </x:c>
      <x:c r="G865" s="44" t="str">
        <x:f>IF(D865="","",EXP(-Configuracion!$B$4/Configuracion!$B$5*(1/AVERAGE(E864:E865)-1/(Configuracion!$B$3+273.15))))</x:f>
      </x:c>
      <x:c r="H865" s="44" t="str">
        <x:f>IF(D865="","",F865*G865)</x:f>
      </x:c>
      <x:c r="I865" s="44" t="str">
        <x:f>IF(D865="","",I864+H865)</x:f>
      </x:c>
      <x:c r="J865" s="46" t="str">
        <x:f>IF(D865="","",MIN(1,I865/Configuracion!$B$11))</x:f>
      </x:c>
      <x:c r="K865" s="48" t="str">
        <x:f>IF(D865="","",MAX(0,(Configuracion!$B$11-I865)/G865))</x:f>
      </x:c>
      <x:c r="L865" s="73" t="str">
        <x:f>IF(D865="","",C865+K865*60)</x:f>
      </x:c>
      <x:c r="M865" t="str">
        <x:f>IF(D865="","",IF(J865&gt;=Configuracion!$B$13,"DESLIZAR",IF(J865&gt;=Configuracion!$B$12,"PREPARARSE","NO DESLIZAR")))</x:f>
      </x:c>
      <x:c r="N865" s="41" t="str">
        <x:f>IF(D865="","",D865-$D$8)</x:f>
      </x:c>
      <x:c r="O865" s="46" t="str">
        <x:f>IF(D865="","",MAX(0,MIN(1,N865/Configuracion!$B$10)))</x:f>
      </x:c>
    </x:row>
    <x:row r="866">
      <x:c r="A866" s="34"/>
      <x:c r="B866" s="36"/>
      <x:c r="C866" s="72"/>
      <x:c r="D866" s="71"/>
      <x:c r="E866" s="41" t="str">
        <x:f>IF(D866="","",D866+273.15)</x:f>
      </x:c>
      <x:c r="F866" s="44" t="str">
        <x:f>IF(OR(C866="",D866="",C865=""),"",(C866-C865)/60)</x:f>
      </x:c>
      <x:c r="G866" s="44" t="str">
        <x:f>IF(D866="","",EXP(-Configuracion!$B$4/Configuracion!$B$5*(1/AVERAGE(E865:E866)-1/(Configuracion!$B$3+273.15))))</x:f>
      </x:c>
      <x:c r="H866" s="44" t="str">
        <x:f>IF(D866="","",F866*G866)</x:f>
      </x:c>
      <x:c r="I866" s="44" t="str">
        <x:f>IF(D866="","",I865+H866)</x:f>
      </x:c>
      <x:c r="J866" s="46" t="str">
        <x:f>IF(D866="","",MIN(1,I866/Configuracion!$B$11))</x:f>
      </x:c>
      <x:c r="K866" s="48" t="str">
        <x:f>IF(D866="","",MAX(0,(Configuracion!$B$11-I866)/G866))</x:f>
      </x:c>
      <x:c r="L866" s="73" t="str">
        <x:f>IF(D866="","",C866+K866*60)</x:f>
      </x:c>
      <x:c r="M866" t="str">
        <x:f>IF(D866="","",IF(J866&gt;=Configuracion!$B$13,"DESLIZAR",IF(J866&gt;=Configuracion!$B$12,"PREPARARSE","NO DESLIZAR")))</x:f>
      </x:c>
      <x:c r="N866" s="41" t="str">
        <x:f>IF(D866="","",D866-$D$8)</x:f>
      </x:c>
      <x:c r="O866" s="46" t="str">
        <x:f>IF(D866="","",MAX(0,MIN(1,N866/Configuracion!$B$10)))</x:f>
      </x:c>
    </x:row>
    <x:row r="867">
      <x:c r="A867" s="34"/>
      <x:c r="B867" s="36"/>
      <x:c r="C867" s="72"/>
      <x:c r="D867" s="71"/>
      <x:c r="E867" s="41" t="str">
        <x:f>IF(D867="","",D867+273.15)</x:f>
      </x:c>
      <x:c r="F867" s="44" t="str">
        <x:f>IF(OR(C867="",D867="",C866=""),"",(C867-C866)/60)</x:f>
      </x:c>
      <x:c r="G867" s="44" t="str">
        <x:f>IF(D867="","",EXP(-Configuracion!$B$4/Configuracion!$B$5*(1/AVERAGE(E866:E867)-1/(Configuracion!$B$3+273.15))))</x:f>
      </x:c>
      <x:c r="H867" s="44" t="str">
        <x:f>IF(D867="","",F867*G867)</x:f>
      </x:c>
      <x:c r="I867" s="44" t="str">
        <x:f>IF(D867="","",I866+H867)</x:f>
      </x:c>
      <x:c r="J867" s="46" t="str">
        <x:f>IF(D867="","",MIN(1,I867/Configuracion!$B$11))</x:f>
      </x:c>
      <x:c r="K867" s="48" t="str">
        <x:f>IF(D867="","",MAX(0,(Configuracion!$B$11-I867)/G867))</x:f>
      </x:c>
      <x:c r="L867" s="73" t="str">
        <x:f>IF(D867="","",C867+K867*60)</x:f>
      </x:c>
      <x:c r="M867" t="str">
        <x:f>IF(D867="","",IF(J867&gt;=Configuracion!$B$13,"DESLIZAR",IF(J867&gt;=Configuracion!$B$12,"PREPARARSE","NO DESLIZAR")))</x:f>
      </x:c>
      <x:c r="N867" s="41" t="str">
        <x:f>IF(D867="","",D867-$D$8)</x:f>
      </x:c>
      <x:c r="O867" s="46" t="str">
        <x:f>IF(D867="","",MAX(0,MIN(1,N867/Configuracion!$B$10)))</x:f>
      </x:c>
    </x:row>
    <x:row r="868">
      <x:c r="A868" s="34"/>
      <x:c r="B868" s="36"/>
      <x:c r="C868" s="72"/>
      <x:c r="D868" s="71"/>
      <x:c r="E868" s="41" t="str">
        <x:f>IF(D868="","",D868+273.15)</x:f>
      </x:c>
      <x:c r="F868" s="44" t="str">
        <x:f>IF(OR(C868="",D868="",C867=""),"",(C868-C867)/60)</x:f>
      </x:c>
      <x:c r="G868" s="44" t="str">
        <x:f>IF(D868="","",EXP(-Configuracion!$B$4/Configuracion!$B$5*(1/AVERAGE(E867:E868)-1/(Configuracion!$B$3+273.15))))</x:f>
      </x:c>
      <x:c r="H868" s="44" t="str">
        <x:f>IF(D868="","",F868*G868)</x:f>
      </x:c>
      <x:c r="I868" s="44" t="str">
        <x:f>IF(D868="","",I867+H868)</x:f>
      </x:c>
      <x:c r="J868" s="46" t="str">
        <x:f>IF(D868="","",MIN(1,I868/Configuracion!$B$11))</x:f>
      </x:c>
      <x:c r="K868" s="48" t="str">
        <x:f>IF(D868="","",MAX(0,(Configuracion!$B$11-I868)/G868))</x:f>
      </x:c>
      <x:c r="L868" s="73" t="str">
        <x:f>IF(D868="","",C868+K868*60)</x:f>
      </x:c>
      <x:c r="M868" t="str">
        <x:f>IF(D868="","",IF(J868&gt;=Configuracion!$B$13,"DESLIZAR",IF(J868&gt;=Configuracion!$B$12,"PREPARARSE","NO DESLIZAR")))</x:f>
      </x:c>
      <x:c r="N868" s="41" t="str">
        <x:f>IF(D868="","",D868-$D$8)</x:f>
      </x:c>
      <x:c r="O868" s="46" t="str">
        <x:f>IF(D868="","",MAX(0,MIN(1,N868/Configuracion!$B$10)))</x:f>
      </x:c>
    </x:row>
    <x:row r="869">
      <x:c r="A869" s="34"/>
      <x:c r="B869" s="36"/>
      <x:c r="C869" s="72"/>
      <x:c r="D869" s="71"/>
      <x:c r="E869" s="41" t="str">
        <x:f>IF(D869="","",D869+273.15)</x:f>
      </x:c>
      <x:c r="F869" s="44" t="str">
        <x:f>IF(OR(C869="",D869="",C868=""),"",(C869-C868)/60)</x:f>
      </x:c>
      <x:c r="G869" s="44" t="str">
        <x:f>IF(D869="","",EXP(-Configuracion!$B$4/Configuracion!$B$5*(1/AVERAGE(E868:E869)-1/(Configuracion!$B$3+273.15))))</x:f>
      </x:c>
      <x:c r="H869" s="44" t="str">
        <x:f>IF(D869="","",F869*G869)</x:f>
      </x:c>
      <x:c r="I869" s="44" t="str">
        <x:f>IF(D869="","",I868+H869)</x:f>
      </x:c>
      <x:c r="J869" s="46" t="str">
        <x:f>IF(D869="","",MIN(1,I869/Configuracion!$B$11))</x:f>
      </x:c>
      <x:c r="K869" s="48" t="str">
        <x:f>IF(D869="","",MAX(0,(Configuracion!$B$11-I869)/G869))</x:f>
      </x:c>
      <x:c r="L869" s="73" t="str">
        <x:f>IF(D869="","",C869+K869*60)</x:f>
      </x:c>
      <x:c r="M869" t="str">
        <x:f>IF(D869="","",IF(J869&gt;=Configuracion!$B$13,"DESLIZAR",IF(J869&gt;=Configuracion!$B$12,"PREPARARSE","NO DESLIZAR")))</x:f>
      </x:c>
      <x:c r="N869" s="41" t="str">
        <x:f>IF(D869="","",D869-$D$8)</x:f>
      </x:c>
      <x:c r="O869" s="46" t="str">
        <x:f>IF(D869="","",MAX(0,MIN(1,N869/Configuracion!$B$10)))</x:f>
      </x:c>
    </x:row>
    <x:row r="870">
      <x:c r="A870" s="34"/>
      <x:c r="B870" s="36"/>
      <x:c r="C870" s="72"/>
      <x:c r="D870" s="71"/>
      <x:c r="E870" s="41" t="str">
        <x:f>IF(D870="","",D870+273.15)</x:f>
      </x:c>
      <x:c r="F870" s="44" t="str">
        <x:f>IF(OR(C870="",D870="",C869=""),"",(C870-C869)/60)</x:f>
      </x:c>
      <x:c r="G870" s="44" t="str">
        <x:f>IF(D870="","",EXP(-Configuracion!$B$4/Configuracion!$B$5*(1/AVERAGE(E869:E870)-1/(Configuracion!$B$3+273.15))))</x:f>
      </x:c>
      <x:c r="H870" s="44" t="str">
        <x:f>IF(D870="","",F870*G870)</x:f>
      </x:c>
      <x:c r="I870" s="44" t="str">
        <x:f>IF(D870="","",I869+H870)</x:f>
      </x:c>
      <x:c r="J870" s="46" t="str">
        <x:f>IF(D870="","",MIN(1,I870/Configuracion!$B$11))</x:f>
      </x:c>
      <x:c r="K870" s="48" t="str">
        <x:f>IF(D870="","",MAX(0,(Configuracion!$B$11-I870)/G870))</x:f>
      </x:c>
      <x:c r="L870" s="73" t="str">
        <x:f>IF(D870="","",C870+K870*60)</x:f>
      </x:c>
      <x:c r="M870" t="str">
        <x:f>IF(D870="","",IF(J870&gt;=Configuracion!$B$13,"DESLIZAR",IF(J870&gt;=Configuracion!$B$12,"PREPARARSE","NO DESLIZAR")))</x:f>
      </x:c>
      <x:c r="N870" s="41" t="str">
        <x:f>IF(D870="","",D870-$D$8)</x:f>
      </x:c>
      <x:c r="O870" s="46" t="str">
        <x:f>IF(D870="","",MAX(0,MIN(1,N870/Configuracion!$B$10)))</x:f>
      </x:c>
    </x:row>
    <x:row r="871">
      <x:c r="A871" s="34"/>
      <x:c r="B871" s="36"/>
      <x:c r="C871" s="72"/>
      <x:c r="D871" s="71"/>
      <x:c r="E871" s="41" t="str">
        <x:f>IF(D871="","",D871+273.15)</x:f>
      </x:c>
      <x:c r="F871" s="44" t="str">
        <x:f>IF(OR(C871="",D871="",C870=""),"",(C871-C870)/60)</x:f>
      </x:c>
      <x:c r="G871" s="44" t="str">
        <x:f>IF(D871="","",EXP(-Configuracion!$B$4/Configuracion!$B$5*(1/AVERAGE(E870:E871)-1/(Configuracion!$B$3+273.15))))</x:f>
      </x:c>
      <x:c r="H871" s="44" t="str">
        <x:f>IF(D871="","",F871*G871)</x:f>
      </x:c>
      <x:c r="I871" s="44" t="str">
        <x:f>IF(D871="","",I870+H871)</x:f>
      </x:c>
      <x:c r="J871" s="46" t="str">
        <x:f>IF(D871="","",MIN(1,I871/Configuracion!$B$11))</x:f>
      </x:c>
      <x:c r="K871" s="48" t="str">
        <x:f>IF(D871="","",MAX(0,(Configuracion!$B$11-I871)/G871))</x:f>
      </x:c>
      <x:c r="L871" s="73" t="str">
        <x:f>IF(D871="","",C871+K871*60)</x:f>
      </x:c>
      <x:c r="M871" t="str">
        <x:f>IF(D871="","",IF(J871&gt;=Configuracion!$B$13,"DESLIZAR",IF(J871&gt;=Configuracion!$B$12,"PREPARARSE","NO DESLIZAR")))</x:f>
      </x:c>
      <x:c r="N871" s="41" t="str">
        <x:f>IF(D871="","",D871-$D$8)</x:f>
      </x:c>
      <x:c r="O871" s="46" t="str">
        <x:f>IF(D871="","",MAX(0,MIN(1,N871/Configuracion!$B$10)))</x:f>
      </x:c>
    </x:row>
    <x:row r="872">
      <x:c r="A872" s="34"/>
      <x:c r="B872" s="36"/>
      <x:c r="C872" s="72"/>
      <x:c r="D872" s="71"/>
      <x:c r="E872" s="41" t="str">
        <x:f>IF(D872="","",D872+273.15)</x:f>
      </x:c>
      <x:c r="F872" s="44" t="str">
        <x:f>IF(OR(C872="",D872="",C871=""),"",(C872-C871)/60)</x:f>
      </x:c>
      <x:c r="G872" s="44" t="str">
        <x:f>IF(D872="","",EXP(-Configuracion!$B$4/Configuracion!$B$5*(1/AVERAGE(E871:E872)-1/(Configuracion!$B$3+273.15))))</x:f>
      </x:c>
      <x:c r="H872" s="44" t="str">
        <x:f>IF(D872="","",F872*G872)</x:f>
      </x:c>
      <x:c r="I872" s="44" t="str">
        <x:f>IF(D872="","",I871+H872)</x:f>
      </x:c>
      <x:c r="J872" s="46" t="str">
        <x:f>IF(D872="","",MIN(1,I872/Configuracion!$B$11))</x:f>
      </x:c>
      <x:c r="K872" s="48" t="str">
        <x:f>IF(D872="","",MAX(0,(Configuracion!$B$11-I872)/G872))</x:f>
      </x:c>
      <x:c r="L872" s="73" t="str">
        <x:f>IF(D872="","",C872+K872*60)</x:f>
      </x:c>
      <x:c r="M872" t="str">
        <x:f>IF(D872="","",IF(J872&gt;=Configuracion!$B$13,"DESLIZAR",IF(J872&gt;=Configuracion!$B$12,"PREPARARSE","NO DESLIZAR")))</x:f>
      </x:c>
      <x:c r="N872" s="41" t="str">
        <x:f>IF(D872="","",D872-$D$8)</x:f>
      </x:c>
      <x:c r="O872" s="46" t="str">
        <x:f>IF(D872="","",MAX(0,MIN(1,N872/Configuracion!$B$10)))</x:f>
      </x:c>
    </x:row>
    <x:row r="873">
      <x:c r="A873" s="34"/>
      <x:c r="B873" s="36"/>
      <x:c r="C873" s="72"/>
      <x:c r="D873" s="71"/>
      <x:c r="E873" s="41" t="str">
        <x:f>IF(D873="","",D873+273.15)</x:f>
      </x:c>
      <x:c r="F873" s="44" t="str">
        <x:f>IF(OR(C873="",D873="",C872=""),"",(C873-C872)/60)</x:f>
      </x:c>
      <x:c r="G873" s="44" t="str">
        <x:f>IF(D873="","",EXP(-Configuracion!$B$4/Configuracion!$B$5*(1/AVERAGE(E872:E873)-1/(Configuracion!$B$3+273.15))))</x:f>
      </x:c>
      <x:c r="H873" s="44" t="str">
        <x:f>IF(D873="","",F873*G873)</x:f>
      </x:c>
      <x:c r="I873" s="44" t="str">
        <x:f>IF(D873="","",I872+H873)</x:f>
      </x:c>
      <x:c r="J873" s="46" t="str">
        <x:f>IF(D873="","",MIN(1,I873/Configuracion!$B$11))</x:f>
      </x:c>
      <x:c r="K873" s="48" t="str">
        <x:f>IF(D873="","",MAX(0,(Configuracion!$B$11-I873)/G873))</x:f>
      </x:c>
      <x:c r="L873" s="73" t="str">
        <x:f>IF(D873="","",C873+K873*60)</x:f>
      </x:c>
      <x:c r="M873" t="str">
        <x:f>IF(D873="","",IF(J873&gt;=Configuracion!$B$13,"DESLIZAR",IF(J873&gt;=Configuracion!$B$12,"PREPARARSE","NO DESLIZAR")))</x:f>
      </x:c>
      <x:c r="N873" s="41" t="str">
        <x:f>IF(D873="","",D873-$D$8)</x:f>
      </x:c>
      <x:c r="O873" s="46" t="str">
        <x:f>IF(D873="","",MAX(0,MIN(1,N873/Configuracion!$B$10)))</x:f>
      </x:c>
    </x:row>
    <x:row r="874">
      <x:c r="A874" s="34"/>
      <x:c r="B874" s="36"/>
      <x:c r="C874" s="72"/>
      <x:c r="D874" s="71"/>
      <x:c r="E874" s="41" t="str">
        <x:f>IF(D874="","",D874+273.15)</x:f>
      </x:c>
      <x:c r="F874" s="44" t="str">
        <x:f>IF(OR(C874="",D874="",C873=""),"",(C874-C873)/60)</x:f>
      </x:c>
      <x:c r="G874" s="44" t="str">
        <x:f>IF(D874="","",EXP(-Configuracion!$B$4/Configuracion!$B$5*(1/AVERAGE(E873:E874)-1/(Configuracion!$B$3+273.15))))</x:f>
      </x:c>
      <x:c r="H874" s="44" t="str">
        <x:f>IF(D874="","",F874*G874)</x:f>
      </x:c>
      <x:c r="I874" s="44" t="str">
        <x:f>IF(D874="","",I873+H874)</x:f>
      </x:c>
      <x:c r="J874" s="46" t="str">
        <x:f>IF(D874="","",MIN(1,I874/Configuracion!$B$11))</x:f>
      </x:c>
      <x:c r="K874" s="48" t="str">
        <x:f>IF(D874="","",MAX(0,(Configuracion!$B$11-I874)/G874))</x:f>
      </x:c>
      <x:c r="L874" s="73" t="str">
        <x:f>IF(D874="","",C874+K874*60)</x:f>
      </x:c>
      <x:c r="M874" t="str">
        <x:f>IF(D874="","",IF(J874&gt;=Configuracion!$B$13,"DESLIZAR",IF(J874&gt;=Configuracion!$B$12,"PREPARARSE","NO DESLIZAR")))</x:f>
      </x:c>
      <x:c r="N874" s="41" t="str">
        <x:f>IF(D874="","",D874-$D$8)</x:f>
      </x:c>
      <x:c r="O874" s="46" t="str">
        <x:f>IF(D874="","",MAX(0,MIN(1,N874/Configuracion!$B$10)))</x:f>
      </x:c>
    </x:row>
    <x:row r="875">
      <x:c r="A875" s="34"/>
      <x:c r="B875" s="36"/>
      <x:c r="C875" s="72"/>
      <x:c r="D875" s="71"/>
      <x:c r="E875" s="41" t="str">
        <x:f>IF(D875="","",D875+273.15)</x:f>
      </x:c>
      <x:c r="F875" s="44" t="str">
        <x:f>IF(OR(C875="",D875="",C874=""),"",(C875-C874)/60)</x:f>
      </x:c>
      <x:c r="G875" s="44" t="str">
        <x:f>IF(D875="","",EXP(-Configuracion!$B$4/Configuracion!$B$5*(1/AVERAGE(E874:E875)-1/(Configuracion!$B$3+273.15))))</x:f>
      </x:c>
      <x:c r="H875" s="44" t="str">
        <x:f>IF(D875="","",F875*G875)</x:f>
      </x:c>
      <x:c r="I875" s="44" t="str">
        <x:f>IF(D875="","",I874+H875)</x:f>
      </x:c>
      <x:c r="J875" s="46" t="str">
        <x:f>IF(D875="","",MIN(1,I875/Configuracion!$B$11))</x:f>
      </x:c>
      <x:c r="K875" s="48" t="str">
        <x:f>IF(D875="","",MAX(0,(Configuracion!$B$11-I875)/G875))</x:f>
      </x:c>
      <x:c r="L875" s="73" t="str">
        <x:f>IF(D875="","",C875+K875*60)</x:f>
      </x:c>
      <x:c r="M875" t="str">
        <x:f>IF(D875="","",IF(J875&gt;=Configuracion!$B$13,"DESLIZAR",IF(J875&gt;=Configuracion!$B$12,"PREPARARSE","NO DESLIZAR")))</x:f>
      </x:c>
      <x:c r="N875" s="41" t="str">
        <x:f>IF(D875="","",D875-$D$8)</x:f>
      </x:c>
      <x:c r="O875" s="46" t="str">
        <x:f>IF(D875="","",MAX(0,MIN(1,N875/Configuracion!$B$10)))</x:f>
      </x:c>
    </x:row>
    <x:row r="876">
      <x:c r="A876" s="34"/>
      <x:c r="B876" s="36"/>
      <x:c r="C876" s="72"/>
      <x:c r="D876" s="71"/>
      <x:c r="E876" s="41" t="str">
        <x:f>IF(D876="","",D876+273.15)</x:f>
      </x:c>
      <x:c r="F876" s="44" t="str">
        <x:f>IF(OR(C876="",D876="",C875=""),"",(C876-C875)/60)</x:f>
      </x:c>
      <x:c r="G876" s="44" t="str">
        <x:f>IF(D876="","",EXP(-Configuracion!$B$4/Configuracion!$B$5*(1/AVERAGE(E875:E876)-1/(Configuracion!$B$3+273.15))))</x:f>
      </x:c>
      <x:c r="H876" s="44" t="str">
        <x:f>IF(D876="","",F876*G876)</x:f>
      </x:c>
      <x:c r="I876" s="44" t="str">
        <x:f>IF(D876="","",I875+H876)</x:f>
      </x:c>
      <x:c r="J876" s="46" t="str">
        <x:f>IF(D876="","",MIN(1,I876/Configuracion!$B$11))</x:f>
      </x:c>
      <x:c r="K876" s="48" t="str">
        <x:f>IF(D876="","",MAX(0,(Configuracion!$B$11-I876)/G876))</x:f>
      </x:c>
      <x:c r="L876" s="73" t="str">
        <x:f>IF(D876="","",C876+K876*60)</x:f>
      </x:c>
      <x:c r="M876" t="str">
        <x:f>IF(D876="","",IF(J876&gt;=Configuracion!$B$13,"DESLIZAR",IF(J876&gt;=Configuracion!$B$12,"PREPARARSE","NO DESLIZAR")))</x:f>
      </x:c>
      <x:c r="N876" s="41" t="str">
        <x:f>IF(D876="","",D876-$D$8)</x:f>
      </x:c>
      <x:c r="O876" s="46" t="str">
        <x:f>IF(D876="","",MAX(0,MIN(1,N876/Configuracion!$B$10)))</x:f>
      </x:c>
    </x:row>
    <x:row r="877">
      <x:c r="A877" s="34"/>
      <x:c r="B877" s="36"/>
      <x:c r="C877" s="72"/>
      <x:c r="D877" s="71"/>
      <x:c r="E877" s="41" t="str">
        <x:f>IF(D877="","",D877+273.15)</x:f>
      </x:c>
      <x:c r="F877" s="44" t="str">
        <x:f>IF(OR(C877="",D877="",C876=""),"",(C877-C876)/60)</x:f>
      </x:c>
      <x:c r="G877" s="44" t="str">
        <x:f>IF(D877="","",EXP(-Configuracion!$B$4/Configuracion!$B$5*(1/AVERAGE(E876:E877)-1/(Configuracion!$B$3+273.15))))</x:f>
      </x:c>
      <x:c r="H877" s="44" t="str">
        <x:f>IF(D877="","",F877*G877)</x:f>
      </x:c>
      <x:c r="I877" s="44" t="str">
        <x:f>IF(D877="","",I876+H877)</x:f>
      </x:c>
      <x:c r="J877" s="46" t="str">
        <x:f>IF(D877="","",MIN(1,I877/Configuracion!$B$11))</x:f>
      </x:c>
      <x:c r="K877" s="48" t="str">
        <x:f>IF(D877="","",MAX(0,(Configuracion!$B$11-I877)/G877))</x:f>
      </x:c>
      <x:c r="L877" s="73" t="str">
        <x:f>IF(D877="","",C877+K877*60)</x:f>
      </x:c>
      <x:c r="M877" t="str">
        <x:f>IF(D877="","",IF(J877&gt;=Configuracion!$B$13,"DESLIZAR",IF(J877&gt;=Configuracion!$B$12,"PREPARARSE","NO DESLIZAR")))</x:f>
      </x:c>
      <x:c r="N877" s="41" t="str">
        <x:f>IF(D877="","",D877-$D$8)</x:f>
      </x:c>
      <x:c r="O877" s="46" t="str">
        <x:f>IF(D877="","",MAX(0,MIN(1,N877/Configuracion!$B$10)))</x:f>
      </x:c>
    </x:row>
    <x:row r="878">
      <x:c r="A878" s="34"/>
      <x:c r="B878" s="36"/>
      <x:c r="C878" s="72"/>
      <x:c r="D878" s="71"/>
      <x:c r="E878" s="41" t="str">
        <x:f>IF(D878="","",D878+273.15)</x:f>
      </x:c>
      <x:c r="F878" s="44" t="str">
        <x:f>IF(OR(C878="",D878="",C877=""),"",(C878-C877)/60)</x:f>
      </x:c>
      <x:c r="G878" s="44" t="str">
        <x:f>IF(D878="","",EXP(-Configuracion!$B$4/Configuracion!$B$5*(1/AVERAGE(E877:E878)-1/(Configuracion!$B$3+273.15))))</x:f>
      </x:c>
      <x:c r="H878" s="44" t="str">
        <x:f>IF(D878="","",F878*G878)</x:f>
      </x:c>
      <x:c r="I878" s="44" t="str">
        <x:f>IF(D878="","",I877+H878)</x:f>
      </x:c>
      <x:c r="J878" s="46" t="str">
        <x:f>IF(D878="","",MIN(1,I878/Configuracion!$B$11))</x:f>
      </x:c>
      <x:c r="K878" s="48" t="str">
        <x:f>IF(D878="","",MAX(0,(Configuracion!$B$11-I878)/G878))</x:f>
      </x:c>
      <x:c r="L878" s="73" t="str">
        <x:f>IF(D878="","",C878+K878*60)</x:f>
      </x:c>
      <x:c r="M878" t="str">
        <x:f>IF(D878="","",IF(J878&gt;=Configuracion!$B$13,"DESLIZAR",IF(J878&gt;=Configuracion!$B$12,"PREPARARSE","NO DESLIZAR")))</x:f>
      </x:c>
      <x:c r="N878" s="41" t="str">
        <x:f>IF(D878="","",D878-$D$8)</x:f>
      </x:c>
      <x:c r="O878" s="46" t="str">
        <x:f>IF(D878="","",MAX(0,MIN(1,N878/Configuracion!$B$10)))</x:f>
      </x:c>
    </x:row>
    <x:row r="879">
      <x:c r="A879" s="34"/>
      <x:c r="B879" s="36"/>
      <x:c r="C879" s="72"/>
      <x:c r="D879" s="71"/>
      <x:c r="E879" s="41" t="str">
        <x:f>IF(D879="","",D879+273.15)</x:f>
      </x:c>
      <x:c r="F879" s="44" t="str">
        <x:f>IF(OR(C879="",D879="",C878=""),"",(C879-C878)/60)</x:f>
      </x:c>
      <x:c r="G879" s="44" t="str">
        <x:f>IF(D879="","",EXP(-Configuracion!$B$4/Configuracion!$B$5*(1/AVERAGE(E878:E879)-1/(Configuracion!$B$3+273.15))))</x:f>
      </x:c>
      <x:c r="H879" s="44" t="str">
        <x:f>IF(D879="","",F879*G879)</x:f>
      </x:c>
      <x:c r="I879" s="44" t="str">
        <x:f>IF(D879="","",I878+H879)</x:f>
      </x:c>
      <x:c r="J879" s="46" t="str">
        <x:f>IF(D879="","",MIN(1,I879/Configuracion!$B$11))</x:f>
      </x:c>
      <x:c r="K879" s="48" t="str">
        <x:f>IF(D879="","",MAX(0,(Configuracion!$B$11-I879)/G879))</x:f>
      </x:c>
      <x:c r="L879" s="73" t="str">
        <x:f>IF(D879="","",C879+K879*60)</x:f>
      </x:c>
      <x:c r="M879" t="str">
        <x:f>IF(D879="","",IF(J879&gt;=Configuracion!$B$13,"DESLIZAR",IF(J879&gt;=Configuracion!$B$12,"PREPARARSE","NO DESLIZAR")))</x:f>
      </x:c>
      <x:c r="N879" s="41" t="str">
        <x:f>IF(D879="","",D879-$D$8)</x:f>
      </x:c>
      <x:c r="O879" s="46" t="str">
        <x:f>IF(D879="","",MAX(0,MIN(1,N879/Configuracion!$B$10)))</x:f>
      </x:c>
    </x:row>
    <x:row r="880">
      <x:c r="A880" s="34"/>
      <x:c r="B880" s="36"/>
      <x:c r="C880" s="72"/>
      <x:c r="D880" s="71"/>
      <x:c r="E880" s="41" t="str">
        <x:f>IF(D880="","",D880+273.15)</x:f>
      </x:c>
      <x:c r="F880" s="44" t="str">
        <x:f>IF(OR(C880="",D880="",C879=""),"",(C880-C879)/60)</x:f>
      </x:c>
      <x:c r="G880" s="44" t="str">
        <x:f>IF(D880="","",EXP(-Configuracion!$B$4/Configuracion!$B$5*(1/AVERAGE(E879:E880)-1/(Configuracion!$B$3+273.15))))</x:f>
      </x:c>
      <x:c r="H880" s="44" t="str">
        <x:f>IF(D880="","",F880*G880)</x:f>
      </x:c>
      <x:c r="I880" s="44" t="str">
        <x:f>IF(D880="","",I879+H880)</x:f>
      </x:c>
      <x:c r="J880" s="46" t="str">
        <x:f>IF(D880="","",MIN(1,I880/Configuracion!$B$11))</x:f>
      </x:c>
      <x:c r="K880" s="48" t="str">
        <x:f>IF(D880="","",MAX(0,(Configuracion!$B$11-I880)/G880))</x:f>
      </x:c>
      <x:c r="L880" s="73" t="str">
        <x:f>IF(D880="","",C880+K880*60)</x:f>
      </x:c>
      <x:c r="M880" t="str">
        <x:f>IF(D880="","",IF(J880&gt;=Configuracion!$B$13,"DESLIZAR",IF(J880&gt;=Configuracion!$B$12,"PREPARARSE","NO DESLIZAR")))</x:f>
      </x:c>
      <x:c r="N880" s="41" t="str">
        <x:f>IF(D880="","",D880-$D$8)</x:f>
      </x:c>
      <x:c r="O880" s="46" t="str">
        <x:f>IF(D880="","",MAX(0,MIN(1,N880/Configuracion!$B$10)))</x:f>
      </x:c>
    </x:row>
    <x:row r="881">
      <x:c r="A881" s="34"/>
      <x:c r="B881" s="36"/>
      <x:c r="C881" s="72"/>
      <x:c r="D881" s="71"/>
      <x:c r="E881" s="41" t="str">
        <x:f>IF(D881="","",D881+273.15)</x:f>
      </x:c>
      <x:c r="F881" s="44" t="str">
        <x:f>IF(OR(C881="",D881="",C880=""),"",(C881-C880)/60)</x:f>
      </x:c>
      <x:c r="G881" s="44" t="str">
        <x:f>IF(D881="","",EXP(-Configuracion!$B$4/Configuracion!$B$5*(1/AVERAGE(E880:E881)-1/(Configuracion!$B$3+273.15))))</x:f>
      </x:c>
      <x:c r="H881" s="44" t="str">
        <x:f>IF(D881="","",F881*G881)</x:f>
      </x:c>
      <x:c r="I881" s="44" t="str">
        <x:f>IF(D881="","",I880+H881)</x:f>
      </x:c>
      <x:c r="J881" s="46" t="str">
        <x:f>IF(D881="","",MIN(1,I881/Configuracion!$B$11))</x:f>
      </x:c>
      <x:c r="K881" s="48" t="str">
        <x:f>IF(D881="","",MAX(0,(Configuracion!$B$11-I881)/G881))</x:f>
      </x:c>
      <x:c r="L881" s="73" t="str">
        <x:f>IF(D881="","",C881+K881*60)</x:f>
      </x:c>
      <x:c r="M881" t="str">
        <x:f>IF(D881="","",IF(J881&gt;=Configuracion!$B$13,"DESLIZAR",IF(J881&gt;=Configuracion!$B$12,"PREPARARSE","NO DESLIZAR")))</x:f>
      </x:c>
      <x:c r="N881" s="41" t="str">
        <x:f>IF(D881="","",D881-$D$8)</x:f>
      </x:c>
      <x:c r="O881" s="46" t="str">
        <x:f>IF(D881="","",MAX(0,MIN(1,N881/Configuracion!$B$10)))</x:f>
      </x:c>
    </x:row>
    <x:row r="882">
      <x:c r="A882" s="34"/>
      <x:c r="B882" s="36"/>
      <x:c r="C882" s="72"/>
      <x:c r="D882" s="71"/>
      <x:c r="E882" s="41" t="str">
        <x:f>IF(D882="","",D882+273.15)</x:f>
      </x:c>
      <x:c r="F882" s="44" t="str">
        <x:f>IF(OR(C882="",D882="",C881=""),"",(C882-C881)/60)</x:f>
      </x:c>
      <x:c r="G882" s="44" t="str">
        <x:f>IF(D882="","",EXP(-Configuracion!$B$4/Configuracion!$B$5*(1/AVERAGE(E881:E882)-1/(Configuracion!$B$3+273.15))))</x:f>
      </x:c>
      <x:c r="H882" s="44" t="str">
        <x:f>IF(D882="","",F882*G882)</x:f>
      </x:c>
      <x:c r="I882" s="44" t="str">
        <x:f>IF(D882="","",I881+H882)</x:f>
      </x:c>
      <x:c r="J882" s="46" t="str">
        <x:f>IF(D882="","",MIN(1,I882/Configuracion!$B$11))</x:f>
      </x:c>
      <x:c r="K882" s="48" t="str">
        <x:f>IF(D882="","",MAX(0,(Configuracion!$B$11-I882)/G882))</x:f>
      </x:c>
      <x:c r="L882" s="73" t="str">
        <x:f>IF(D882="","",C882+K882*60)</x:f>
      </x:c>
      <x:c r="M882" t="str">
        <x:f>IF(D882="","",IF(J882&gt;=Configuracion!$B$13,"DESLIZAR",IF(J882&gt;=Configuracion!$B$12,"PREPARARSE","NO DESLIZAR")))</x:f>
      </x:c>
      <x:c r="N882" s="41" t="str">
        <x:f>IF(D882="","",D882-$D$8)</x:f>
      </x:c>
      <x:c r="O882" s="46" t="str">
        <x:f>IF(D882="","",MAX(0,MIN(1,N882/Configuracion!$B$10)))</x:f>
      </x:c>
    </x:row>
    <x:row r="883">
      <x:c r="A883" s="34"/>
      <x:c r="B883" s="36"/>
      <x:c r="C883" s="72"/>
      <x:c r="D883" s="71"/>
      <x:c r="E883" s="41" t="str">
        <x:f>IF(D883="","",D883+273.15)</x:f>
      </x:c>
      <x:c r="F883" s="44" t="str">
        <x:f>IF(OR(C883="",D883="",C882=""),"",(C883-C882)/60)</x:f>
      </x:c>
      <x:c r="G883" s="44" t="str">
        <x:f>IF(D883="","",EXP(-Configuracion!$B$4/Configuracion!$B$5*(1/AVERAGE(E882:E883)-1/(Configuracion!$B$3+273.15))))</x:f>
      </x:c>
      <x:c r="H883" s="44" t="str">
        <x:f>IF(D883="","",F883*G883)</x:f>
      </x:c>
      <x:c r="I883" s="44" t="str">
        <x:f>IF(D883="","",I882+H883)</x:f>
      </x:c>
      <x:c r="J883" s="46" t="str">
        <x:f>IF(D883="","",MIN(1,I883/Configuracion!$B$11))</x:f>
      </x:c>
      <x:c r="K883" s="48" t="str">
        <x:f>IF(D883="","",MAX(0,(Configuracion!$B$11-I883)/G883))</x:f>
      </x:c>
      <x:c r="L883" s="73" t="str">
        <x:f>IF(D883="","",C883+K883*60)</x:f>
      </x:c>
      <x:c r="M883" t="str">
        <x:f>IF(D883="","",IF(J883&gt;=Configuracion!$B$13,"DESLIZAR",IF(J883&gt;=Configuracion!$B$12,"PREPARARSE","NO DESLIZAR")))</x:f>
      </x:c>
      <x:c r="N883" s="41" t="str">
        <x:f>IF(D883="","",D883-$D$8)</x:f>
      </x:c>
      <x:c r="O883" s="46" t="str">
        <x:f>IF(D883="","",MAX(0,MIN(1,N883/Configuracion!$B$10)))</x:f>
      </x:c>
    </x:row>
    <x:row r="884">
      <x:c r="A884" s="34"/>
      <x:c r="B884" s="36"/>
      <x:c r="C884" s="72"/>
      <x:c r="D884" s="71"/>
      <x:c r="E884" s="41" t="str">
        <x:f>IF(D884="","",D884+273.15)</x:f>
      </x:c>
      <x:c r="F884" s="44" t="str">
        <x:f>IF(OR(C884="",D884="",C883=""),"",(C884-C883)/60)</x:f>
      </x:c>
      <x:c r="G884" s="44" t="str">
        <x:f>IF(D884="","",EXP(-Configuracion!$B$4/Configuracion!$B$5*(1/AVERAGE(E883:E884)-1/(Configuracion!$B$3+273.15))))</x:f>
      </x:c>
      <x:c r="H884" s="44" t="str">
        <x:f>IF(D884="","",F884*G884)</x:f>
      </x:c>
      <x:c r="I884" s="44" t="str">
        <x:f>IF(D884="","",I883+H884)</x:f>
      </x:c>
      <x:c r="J884" s="46" t="str">
        <x:f>IF(D884="","",MIN(1,I884/Configuracion!$B$11))</x:f>
      </x:c>
      <x:c r="K884" s="48" t="str">
        <x:f>IF(D884="","",MAX(0,(Configuracion!$B$11-I884)/G884))</x:f>
      </x:c>
      <x:c r="L884" s="73" t="str">
        <x:f>IF(D884="","",C884+K884*60)</x:f>
      </x:c>
      <x:c r="M884" t="str">
        <x:f>IF(D884="","",IF(J884&gt;=Configuracion!$B$13,"DESLIZAR",IF(J884&gt;=Configuracion!$B$12,"PREPARARSE","NO DESLIZAR")))</x:f>
      </x:c>
      <x:c r="N884" s="41" t="str">
        <x:f>IF(D884="","",D884-$D$8)</x:f>
      </x:c>
      <x:c r="O884" s="46" t="str">
        <x:f>IF(D884="","",MAX(0,MIN(1,N884/Configuracion!$B$10)))</x:f>
      </x:c>
    </x:row>
    <x:row r="885">
      <x:c r="A885" s="34"/>
      <x:c r="B885" s="36"/>
      <x:c r="C885" s="72"/>
      <x:c r="D885" s="71"/>
      <x:c r="E885" s="41" t="str">
        <x:f>IF(D885="","",D885+273.15)</x:f>
      </x:c>
      <x:c r="F885" s="44" t="str">
        <x:f>IF(OR(C885="",D885="",C884=""),"",(C885-C884)/60)</x:f>
      </x:c>
      <x:c r="G885" s="44" t="str">
        <x:f>IF(D885="","",EXP(-Configuracion!$B$4/Configuracion!$B$5*(1/AVERAGE(E884:E885)-1/(Configuracion!$B$3+273.15))))</x:f>
      </x:c>
      <x:c r="H885" s="44" t="str">
        <x:f>IF(D885="","",F885*G885)</x:f>
      </x:c>
      <x:c r="I885" s="44" t="str">
        <x:f>IF(D885="","",I884+H885)</x:f>
      </x:c>
      <x:c r="J885" s="46" t="str">
        <x:f>IF(D885="","",MIN(1,I885/Configuracion!$B$11))</x:f>
      </x:c>
      <x:c r="K885" s="48" t="str">
        <x:f>IF(D885="","",MAX(0,(Configuracion!$B$11-I885)/G885))</x:f>
      </x:c>
      <x:c r="L885" s="73" t="str">
        <x:f>IF(D885="","",C885+K885*60)</x:f>
      </x:c>
      <x:c r="M885" t="str">
        <x:f>IF(D885="","",IF(J885&gt;=Configuracion!$B$13,"DESLIZAR",IF(J885&gt;=Configuracion!$B$12,"PREPARARSE","NO DESLIZAR")))</x:f>
      </x:c>
      <x:c r="N885" s="41" t="str">
        <x:f>IF(D885="","",D885-$D$8)</x:f>
      </x:c>
      <x:c r="O885" s="46" t="str">
        <x:f>IF(D885="","",MAX(0,MIN(1,N885/Configuracion!$B$10)))</x:f>
      </x:c>
    </x:row>
    <x:row r="886">
      <x:c r="A886" s="34"/>
      <x:c r="B886" s="36"/>
      <x:c r="C886" s="72"/>
      <x:c r="D886" s="71"/>
      <x:c r="E886" s="41" t="str">
        <x:f>IF(D886="","",D886+273.15)</x:f>
      </x:c>
      <x:c r="F886" s="44" t="str">
        <x:f>IF(OR(C886="",D886="",C885=""),"",(C886-C885)/60)</x:f>
      </x:c>
      <x:c r="G886" s="44" t="str">
        <x:f>IF(D886="","",EXP(-Configuracion!$B$4/Configuracion!$B$5*(1/AVERAGE(E885:E886)-1/(Configuracion!$B$3+273.15))))</x:f>
      </x:c>
      <x:c r="H886" s="44" t="str">
        <x:f>IF(D886="","",F886*G886)</x:f>
      </x:c>
      <x:c r="I886" s="44" t="str">
        <x:f>IF(D886="","",I885+H886)</x:f>
      </x:c>
      <x:c r="J886" s="46" t="str">
        <x:f>IF(D886="","",MIN(1,I886/Configuracion!$B$11))</x:f>
      </x:c>
      <x:c r="K886" s="48" t="str">
        <x:f>IF(D886="","",MAX(0,(Configuracion!$B$11-I886)/G886))</x:f>
      </x:c>
      <x:c r="L886" s="73" t="str">
        <x:f>IF(D886="","",C886+K886*60)</x:f>
      </x:c>
      <x:c r="M886" t="str">
        <x:f>IF(D886="","",IF(J886&gt;=Configuracion!$B$13,"DESLIZAR",IF(J886&gt;=Configuracion!$B$12,"PREPARARSE","NO DESLIZAR")))</x:f>
      </x:c>
      <x:c r="N886" s="41" t="str">
        <x:f>IF(D886="","",D886-$D$8)</x:f>
      </x:c>
      <x:c r="O886" s="46" t="str">
        <x:f>IF(D886="","",MAX(0,MIN(1,N886/Configuracion!$B$10)))</x:f>
      </x:c>
    </x:row>
    <x:row r="887">
      <x:c r="A887" s="34"/>
      <x:c r="B887" s="36"/>
      <x:c r="C887" s="72"/>
      <x:c r="D887" s="71"/>
      <x:c r="E887" s="41" t="str">
        <x:f>IF(D887="","",D887+273.15)</x:f>
      </x:c>
      <x:c r="F887" s="44" t="str">
        <x:f>IF(OR(C887="",D887="",C886=""),"",(C887-C886)/60)</x:f>
      </x:c>
      <x:c r="G887" s="44" t="str">
        <x:f>IF(D887="","",EXP(-Configuracion!$B$4/Configuracion!$B$5*(1/AVERAGE(E886:E887)-1/(Configuracion!$B$3+273.15))))</x:f>
      </x:c>
      <x:c r="H887" s="44" t="str">
        <x:f>IF(D887="","",F887*G887)</x:f>
      </x:c>
      <x:c r="I887" s="44" t="str">
        <x:f>IF(D887="","",I886+H887)</x:f>
      </x:c>
      <x:c r="J887" s="46" t="str">
        <x:f>IF(D887="","",MIN(1,I887/Configuracion!$B$11))</x:f>
      </x:c>
      <x:c r="K887" s="48" t="str">
        <x:f>IF(D887="","",MAX(0,(Configuracion!$B$11-I887)/G887))</x:f>
      </x:c>
      <x:c r="L887" s="73" t="str">
        <x:f>IF(D887="","",C887+K887*60)</x:f>
      </x:c>
      <x:c r="M887" t="str">
        <x:f>IF(D887="","",IF(J887&gt;=Configuracion!$B$13,"DESLIZAR",IF(J887&gt;=Configuracion!$B$12,"PREPARARSE","NO DESLIZAR")))</x:f>
      </x:c>
      <x:c r="N887" s="41" t="str">
        <x:f>IF(D887="","",D887-$D$8)</x:f>
      </x:c>
      <x:c r="O887" s="46" t="str">
        <x:f>IF(D887="","",MAX(0,MIN(1,N887/Configuracion!$B$10)))</x:f>
      </x:c>
    </x:row>
    <x:row r="888">
      <x:c r="A888" s="34"/>
      <x:c r="B888" s="36"/>
      <x:c r="C888" s="72"/>
      <x:c r="D888" s="71"/>
      <x:c r="E888" s="41" t="str">
        <x:f>IF(D888="","",D888+273.15)</x:f>
      </x:c>
      <x:c r="F888" s="44" t="str">
        <x:f>IF(OR(C888="",D888="",C887=""),"",(C888-C887)/60)</x:f>
      </x:c>
      <x:c r="G888" s="44" t="str">
        <x:f>IF(D888="","",EXP(-Configuracion!$B$4/Configuracion!$B$5*(1/AVERAGE(E887:E888)-1/(Configuracion!$B$3+273.15))))</x:f>
      </x:c>
      <x:c r="H888" s="44" t="str">
        <x:f>IF(D888="","",F888*G888)</x:f>
      </x:c>
      <x:c r="I888" s="44" t="str">
        <x:f>IF(D888="","",I887+H888)</x:f>
      </x:c>
      <x:c r="J888" s="46" t="str">
        <x:f>IF(D888="","",MIN(1,I888/Configuracion!$B$11))</x:f>
      </x:c>
      <x:c r="K888" s="48" t="str">
        <x:f>IF(D888="","",MAX(0,(Configuracion!$B$11-I888)/G888))</x:f>
      </x:c>
      <x:c r="L888" s="73" t="str">
        <x:f>IF(D888="","",C888+K888*60)</x:f>
      </x:c>
      <x:c r="M888" t="str">
        <x:f>IF(D888="","",IF(J888&gt;=Configuracion!$B$13,"DESLIZAR",IF(J888&gt;=Configuracion!$B$12,"PREPARARSE","NO DESLIZAR")))</x:f>
      </x:c>
      <x:c r="N888" s="41" t="str">
        <x:f>IF(D888="","",D888-$D$8)</x:f>
      </x:c>
      <x:c r="O888" s="46" t="str">
        <x:f>IF(D888="","",MAX(0,MIN(1,N888/Configuracion!$B$10)))</x:f>
      </x:c>
    </x:row>
    <x:row r="889">
      <x:c r="A889" s="34"/>
      <x:c r="B889" s="36"/>
      <x:c r="C889" s="72"/>
      <x:c r="D889" s="71"/>
      <x:c r="E889" s="41" t="str">
        <x:f>IF(D889="","",D889+273.15)</x:f>
      </x:c>
      <x:c r="F889" s="44" t="str">
        <x:f>IF(OR(C889="",D889="",C888=""),"",(C889-C888)/60)</x:f>
      </x:c>
      <x:c r="G889" s="44" t="str">
        <x:f>IF(D889="","",EXP(-Configuracion!$B$4/Configuracion!$B$5*(1/AVERAGE(E888:E889)-1/(Configuracion!$B$3+273.15))))</x:f>
      </x:c>
      <x:c r="H889" s="44" t="str">
        <x:f>IF(D889="","",F889*G889)</x:f>
      </x:c>
      <x:c r="I889" s="44" t="str">
        <x:f>IF(D889="","",I888+H889)</x:f>
      </x:c>
      <x:c r="J889" s="46" t="str">
        <x:f>IF(D889="","",MIN(1,I889/Configuracion!$B$11))</x:f>
      </x:c>
      <x:c r="K889" s="48" t="str">
        <x:f>IF(D889="","",MAX(0,(Configuracion!$B$11-I889)/G889))</x:f>
      </x:c>
      <x:c r="L889" s="73" t="str">
        <x:f>IF(D889="","",C889+K889*60)</x:f>
      </x:c>
      <x:c r="M889" t="str">
        <x:f>IF(D889="","",IF(J889&gt;=Configuracion!$B$13,"DESLIZAR",IF(J889&gt;=Configuracion!$B$12,"PREPARARSE","NO DESLIZAR")))</x:f>
      </x:c>
      <x:c r="N889" s="41" t="str">
        <x:f>IF(D889="","",D889-$D$8)</x:f>
      </x:c>
      <x:c r="O889" s="46" t="str">
        <x:f>IF(D889="","",MAX(0,MIN(1,N889/Configuracion!$B$10)))</x:f>
      </x:c>
    </x:row>
    <x:row r="890">
      <x:c r="A890" s="34"/>
      <x:c r="B890" s="36"/>
      <x:c r="C890" s="72"/>
      <x:c r="D890" s="71"/>
      <x:c r="E890" s="41" t="str">
        <x:f>IF(D890="","",D890+273.15)</x:f>
      </x:c>
      <x:c r="F890" s="44" t="str">
        <x:f>IF(OR(C890="",D890="",C889=""),"",(C890-C889)/60)</x:f>
      </x:c>
      <x:c r="G890" s="44" t="str">
        <x:f>IF(D890="","",EXP(-Configuracion!$B$4/Configuracion!$B$5*(1/AVERAGE(E889:E890)-1/(Configuracion!$B$3+273.15))))</x:f>
      </x:c>
      <x:c r="H890" s="44" t="str">
        <x:f>IF(D890="","",F890*G890)</x:f>
      </x:c>
      <x:c r="I890" s="44" t="str">
        <x:f>IF(D890="","",I889+H890)</x:f>
      </x:c>
      <x:c r="J890" s="46" t="str">
        <x:f>IF(D890="","",MIN(1,I890/Configuracion!$B$11))</x:f>
      </x:c>
      <x:c r="K890" s="48" t="str">
        <x:f>IF(D890="","",MAX(0,(Configuracion!$B$11-I890)/G890))</x:f>
      </x:c>
      <x:c r="L890" s="73" t="str">
        <x:f>IF(D890="","",C890+K890*60)</x:f>
      </x:c>
      <x:c r="M890" t="str">
        <x:f>IF(D890="","",IF(J890&gt;=Configuracion!$B$13,"DESLIZAR",IF(J890&gt;=Configuracion!$B$12,"PREPARARSE","NO DESLIZAR")))</x:f>
      </x:c>
      <x:c r="N890" s="41" t="str">
        <x:f>IF(D890="","",D890-$D$8)</x:f>
      </x:c>
      <x:c r="O890" s="46" t="str">
        <x:f>IF(D890="","",MAX(0,MIN(1,N890/Configuracion!$B$10)))</x:f>
      </x:c>
    </x:row>
    <x:row r="891">
      <x:c r="A891" s="34"/>
      <x:c r="B891" s="36"/>
      <x:c r="C891" s="72"/>
      <x:c r="D891" s="71"/>
      <x:c r="E891" s="41" t="str">
        <x:f>IF(D891="","",D891+273.15)</x:f>
      </x:c>
      <x:c r="F891" s="44" t="str">
        <x:f>IF(OR(C891="",D891="",C890=""),"",(C891-C890)/60)</x:f>
      </x:c>
      <x:c r="G891" s="44" t="str">
        <x:f>IF(D891="","",EXP(-Configuracion!$B$4/Configuracion!$B$5*(1/AVERAGE(E890:E891)-1/(Configuracion!$B$3+273.15))))</x:f>
      </x:c>
      <x:c r="H891" s="44" t="str">
        <x:f>IF(D891="","",F891*G891)</x:f>
      </x:c>
      <x:c r="I891" s="44" t="str">
        <x:f>IF(D891="","",I890+H891)</x:f>
      </x:c>
      <x:c r="J891" s="46" t="str">
        <x:f>IF(D891="","",MIN(1,I891/Configuracion!$B$11))</x:f>
      </x:c>
      <x:c r="K891" s="48" t="str">
        <x:f>IF(D891="","",MAX(0,(Configuracion!$B$11-I891)/G891))</x:f>
      </x:c>
      <x:c r="L891" s="73" t="str">
        <x:f>IF(D891="","",C891+K891*60)</x:f>
      </x:c>
      <x:c r="M891" t="str">
        <x:f>IF(D891="","",IF(J891&gt;=Configuracion!$B$13,"DESLIZAR",IF(J891&gt;=Configuracion!$B$12,"PREPARARSE","NO DESLIZAR")))</x:f>
      </x:c>
      <x:c r="N891" s="41" t="str">
        <x:f>IF(D891="","",D891-$D$8)</x:f>
      </x:c>
      <x:c r="O891" s="46" t="str">
        <x:f>IF(D891="","",MAX(0,MIN(1,N891/Configuracion!$B$10)))</x:f>
      </x:c>
    </x:row>
    <x:row r="892">
      <x:c r="A892" s="34"/>
      <x:c r="B892" s="36"/>
      <x:c r="C892" s="72"/>
      <x:c r="D892" s="71"/>
      <x:c r="E892" s="41" t="str">
        <x:f>IF(D892="","",D892+273.15)</x:f>
      </x:c>
      <x:c r="F892" s="44" t="str">
        <x:f>IF(OR(C892="",D892="",C891=""),"",(C892-C891)/60)</x:f>
      </x:c>
      <x:c r="G892" s="44" t="str">
        <x:f>IF(D892="","",EXP(-Configuracion!$B$4/Configuracion!$B$5*(1/AVERAGE(E891:E892)-1/(Configuracion!$B$3+273.15))))</x:f>
      </x:c>
      <x:c r="H892" s="44" t="str">
        <x:f>IF(D892="","",F892*G892)</x:f>
      </x:c>
      <x:c r="I892" s="44" t="str">
        <x:f>IF(D892="","",I891+H892)</x:f>
      </x:c>
      <x:c r="J892" s="46" t="str">
        <x:f>IF(D892="","",MIN(1,I892/Configuracion!$B$11))</x:f>
      </x:c>
      <x:c r="K892" s="48" t="str">
        <x:f>IF(D892="","",MAX(0,(Configuracion!$B$11-I892)/G892))</x:f>
      </x:c>
      <x:c r="L892" s="73" t="str">
        <x:f>IF(D892="","",C892+K892*60)</x:f>
      </x:c>
      <x:c r="M892" t="str">
        <x:f>IF(D892="","",IF(J892&gt;=Configuracion!$B$13,"DESLIZAR",IF(J892&gt;=Configuracion!$B$12,"PREPARARSE","NO DESLIZAR")))</x:f>
      </x:c>
      <x:c r="N892" s="41" t="str">
        <x:f>IF(D892="","",D892-$D$8)</x:f>
      </x:c>
      <x:c r="O892" s="46" t="str">
        <x:f>IF(D892="","",MAX(0,MIN(1,N892/Configuracion!$B$10)))</x:f>
      </x:c>
    </x:row>
    <x:row r="893">
      <x:c r="A893" s="34"/>
      <x:c r="B893" s="36"/>
      <x:c r="C893" s="72"/>
      <x:c r="D893" s="71"/>
      <x:c r="E893" s="41" t="str">
        <x:f>IF(D893="","",D893+273.15)</x:f>
      </x:c>
      <x:c r="F893" s="44" t="str">
        <x:f>IF(OR(C893="",D893="",C892=""),"",(C893-C892)/60)</x:f>
      </x:c>
      <x:c r="G893" s="44" t="str">
        <x:f>IF(D893="","",EXP(-Configuracion!$B$4/Configuracion!$B$5*(1/AVERAGE(E892:E893)-1/(Configuracion!$B$3+273.15))))</x:f>
      </x:c>
      <x:c r="H893" s="44" t="str">
        <x:f>IF(D893="","",F893*G893)</x:f>
      </x:c>
      <x:c r="I893" s="44" t="str">
        <x:f>IF(D893="","",I892+H893)</x:f>
      </x:c>
      <x:c r="J893" s="46" t="str">
        <x:f>IF(D893="","",MIN(1,I893/Configuracion!$B$11))</x:f>
      </x:c>
      <x:c r="K893" s="48" t="str">
        <x:f>IF(D893="","",MAX(0,(Configuracion!$B$11-I893)/G893))</x:f>
      </x:c>
      <x:c r="L893" s="73" t="str">
        <x:f>IF(D893="","",C893+K893*60)</x:f>
      </x:c>
      <x:c r="M893" t="str">
        <x:f>IF(D893="","",IF(J893&gt;=Configuracion!$B$13,"DESLIZAR",IF(J893&gt;=Configuracion!$B$12,"PREPARARSE","NO DESLIZAR")))</x:f>
      </x:c>
      <x:c r="N893" s="41" t="str">
        <x:f>IF(D893="","",D893-$D$8)</x:f>
      </x:c>
      <x:c r="O893" s="46" t="str">
        <x:f>IF(D893="","",MAX(0,MIN(1,N893/Configuracion!$B$10)))</x:f>
      </x:c>
    </x:row>
    <x:row r="894">
      <x:c r="A894" s="34"/>
      <x:c r="B894" s="36"/>
      <x:c r="C894" s="72"/>
      <x:c r="D894" s="71"/>
      <x:c r="E894" s="41" t="str">
        <x:f>IF(D894="","",D894+273.15)</x:f>
      </x:c>
      <x:c r="F894" s="44" t="str">
        <x:f>IF(OR(C894="",D894="",C893=""),"",(C894-C893)/60)</x:f>
      </x:c>
      <x:c r="G894" s="44" t="str">
        <x:f>IF(D894="","",EXP(-Configuracion!$B$4/Configuracion!$B$5*(1/AVERAGE(E893:E894)-1/(Configuracion!$B$3+273.15))))</x:f>
      </x:c>
      <x:c r="H894" s="44" t="str">
        <x:f>IF(D894="","",F894*G894)</x:f>
      </x:c>
      <x:c r="I894" s="44" t="str">
        <x:f>IF(D894="","",I893+H894)</x:f>
      </x:c>
      <x:c r="J894" s="46" t="str">
        <x:f>IF(D894="","",MIN(1,I894/Configuracion!$B$11))</x:f>
      </x:c>
      <x:c r="K894" s="48" t="str">
        <x:f>IF(D894="","",MAX(0,(Configuracion!$B$11-I894)/G894))</x:f>
      </x:c>
      <x:c r="L894" s="73" t="str">
        <x:f>IF(D894="","",C894+K894*60)</x:f>
      </x:c>
      <x:c r="M894" t="str">
        <x:f>IF(D894="","",IF(J894&gt;=Configuracion!$B$13,"DESLIZAR",IF(J894&gt;=Configuracion!$B$12,"PREPARARSE","NO DESLIZAR")))</x:f>
      </x:c>
      <x:c r="N894" s="41" t="str">
        <x:f>IF(D894="","",D894-$D$8)</x:f>
      </x:c>
      <x:c r="O894" s="46" t="str">
        <x:f>IF(D894="","",MAX(0,MIN(1,N894/Configuracion!$B$10)))</x:f>
      </x:c>
    </x:row>
    <x:row r="895">
      <x:c r="A895" s="34"/>
      <x:c r="B895" s="36"/>
      <x:c r="C895" s="72"/>
      <x:c r="D895" s="71"/>
      <x:c r="E895" s="41" t="str">
        <x:f>IF(D895="","",D895+273.15)</x:f>
      </x:c>
      <x:c r="F895" s="44" t="str">
        <x:f>IF(OR(C895="",D895="",C894=""),"",(C895-C894)/60)</x:f>
      </x:c>
      <x:c r="G895" s="44" t="str">
        <x:f>IF(D895="","",EXP(-Configuracion!$B$4/Configuracion!$B$5*(1/AVERAGE(E894:E895)-1/(Configuracion!$B$3+273.15))))</x:f>
      </x:c>
      <x:c r="H895" s="44" t="str">
        <x:f>IF(D895="","",F895*G895)</x:f>
      </x:c>
      <x:c r="I895" s="44" t="str">
        <x:f>IF(D895="","",I894+H895)</x:f>
      </x:c>
      <x:c r="J895" s="46" t="str">
        <x:f>IF(D895="","",MIN(1,I895/Configuracion!$B$11))</x:f>
      </x:c>
      <x:c r="K895" s="48" t="str">
        <x:f>IF(D895="","",MAX(0,(Configuracion!$B$11-I895)/G895))</x:f>
      </x:c>
      <x:c r="L895" s="73" t="str">
        <x:f>IF(D895="","",C895+K895*60)</x:f>
      </x:c>
      <x:c r="M895" t="str">
        <x:f>IF(D895="","",IF(J895&gt;=Configuracion!$B$13,"DESLIZAR",IF(J895&gt;=Configuracion!$B$12,"PREPARARSE","NO DESLIZAR")))</x:f>
      </x:c>
      <x:c r="N895" s="41" t="str">
        <x:f>IF(D895="","",D895-$D$8)</x:f>
      </x:c>
      <x:c r="O895" s="46" t="str">
        <x:f>IF(D895="","",MAX(0,MIN(1,N895/Configuracion!$B$10)))</x:f>
      </x:c>
    </x:row>
    <x:row r="896">
      <x:c r="A896" s="34"/>
      <x:c r="B896" s="36"/>
      <x:c r="C896" s="72"/>
      <x:c r="D896" s="71"/>
      <x:c r="E896" s="41" t="str">
        <x:f>IF(D896="","",D896+273.15)</x:f>
      </x:c>
      <x:c r="F896" s="44" t="str">
        <x:f>IF(OR(C896="",D896="",C895=""),"",(C896-C895)/60)</x:f>
      </x:c>
      <x:c r="G896" s="44" t="str">
        <x:f>IF(D896="","",EXP(-Configuracion!$B$4/Configuracion!$B$5*(1/AVERAGE(E895:E896)-1/(Configuracion!$B$3+273.15))))</x:f>
      </x:c>
      <x:c r="H896" s="44" t="str">
        <x:f>IF(D896="","",F896*G896)</x:f>
      </x:c>
      <x:c r="I896" s="44" t="str">
        <x:f>IF(D896="","",I895+H896)</x:f>
      </x:c>
      <x:c r="J896" s="46" t="str">
        <x:f>IF(D896="","",MIN(1,I896/Configuracion!$B$11))</x:f>
      </x:c>
      <x:c r="K896" s="48" t="str">
        <x:f>IF(D896="","",MAX(0,(Configuracion!$B$11-I896)/G896))</x:f>
      </x:c>
      <x:c r="L896" s="73" t="str">
        <x:f>IF(D896="","",C896+K896*60)</x:f>
      </x:c>
      <x:c r="M896" t="str">
        <x:f>IF(D896="","",IF(J896&gt;=Configuracion!$B$13,"DESLIZAR",IF(J896&gt;=Configuracion!$B$12,"PREPARARSE","NO DESLIZAR")))</x:f>
      </x:c>
      <x:c r="N896" s="41" t="str">
        <x:f>IF(D896="","",D896-$D$8)</x:f>
      </x:c>
      <x:c r="O896" s="46" t="str">
        <x:f>IF(D896="","",MAX(0,MIN(1,N896/Configuracion!$B$10)))</x:f>
      </x:c>
    </x:row>
    <x:row r="897">
      <x:c r="A897" s="34"/>
      <x:c r="B897" s="36"/>
      <x:c r="C897" s="72"/>
      <x:c r="D897" s="71"/>
      <x:c r="E897" s="41" t="str">
        <x:f>IF(D897="","",D897+273.15)</x:f>
      </x:c>
      <x:c r="F897" s="44" t="str">
        <x:f>IF(OR(C897="",D897="",C896=""),"",(C897-C896)/60)</x:f>
      </x:c>
      <x:c r="G897" s="44" t="str">
        <x:f>IF(D897="","",EXP(-Configuracion!$B$4/Configuracion!$B$5*(1/AVERAGE(E896:E897)-1/(Configuracion!$B$3+273.15))))</x:f>
      </x:c>
      <x:c r="H897" s="44" t="str">
        <x:f>IF(D897="","",F897*G897)</x:f>
      </x:c>
      <x:c r="I897" s="44" t="str">
        <x:f>IF(D897="","",I896+H897)</x:f>
      </x:c>
      <x:c r="J897" s="46" t="str">
        <x:f>IF(D897="","",MIN(1,I897/Configuracion!$B$11))</x:f>
      </x:c>
      <x:c r="K897" s="48" t="str">
        <x:f>IF(D897="","",MAX(0,(Configuracion!$B$11-I897)/G897))</x:f>
      </x:c>
      <x:c r="L897" s="73" t="str">
        <x:f>IF(D897="","",C897+K897*60)</x:f>
      </x:c>
      <x:c r="M897" t="str">
        <x:f>IF(D897="","",IF(J897&gt;=Configuracion!$B$13,"DESLIZAR",IF(J897&gt;=Configuracion!$B$12,"PREPARARSE","NO DESLIZAR")))</x:f>
      </x:c>
      <x:c r="N897" s="41" t="str">
        <x:f>IF(D897="","",D897-$D$8)</x:f>
      </x:c>
      <x:c r="O897" s="46" t="str">
        <x:f>IF(D897="","",MAX(0,MIN(1,N897/Configuracion!$B$10)))</x:f>
      </x:c>
    </x:row>
    <x:row r="898">
      <x:c r="A898" s="34"/>
      <x:c r="B898" s="36"/>
      <x:c r="C898" s="72"/>
      <x:c r="D898" s="71"/>
      <x:c r="E898" s="41" t="str">
        <x:f>IF(D898="","",D898+273.15)</x:f>
      </x:c>
      <x:c r="F898" s="44" t="str">
        <x:f>IF(OR(C898="",D898="",C897=""),"",(C898-C897)/60)</x:f>
      </x:c>
      <x:c r="G898" s="44" t="str">
        <x:f>IF(D898="","",EXP(-Configuracion!$B$4/Configuracion!$B$5*(1/AVERAGE(E897:E898)-1/(Configuracion!$B$3+273.15))))</x:f>
      </x:c>
      <x:c r="H898" s="44" t="str">
        <x:f>IF(D898="","",F898*G898)</x:f>
      </x:c>
      <x:c r="I898" s="44" t="str">
        <x:f>IF(D898="","",I897+H898)</x:f>
      </x:c>
      <x:c r="J898" s="46" t="str">
        <x:f>IF(D898="","",MIN(1,I898/Configuracion!$B$11))</x:f>
      </x:c>
      <x:c r="K898" s="48" t="str">
        <x:f>IF(D898="","",MAX(0,(Configuracion!$B$11-I898)/G898))</x:f>
      </x:c>
      <x:c r="L898" s="73" t="str">
        <x:f>IF(D898="","",C898+K898*60)</x:f>
      </x:c>
      <x:c r="M898" t="str">
        <x:f>IF(D898="","",IF(J898&gt;=Configuracion!$B$13,"DESLIZAR",IF(J898&gt;=Configuracion!$B$12,"PREPARARSE","NO DESLIZAR")))</x:f>
      </x:c>
      <x:c r="N898" s="41" t="str">
        <x:f>IF(D898="","",D898-$D$8)</x:f>
      </x:c>
      <x:c r="O898" s="46" t="str">
        <x:f>IF(D898="","",MAX(0,MIN(1,N898/Configuracion!$B$10)))</x:f>
      </x:c>
    </x:row>
    <x:row r="899">
      <x:c r="A899" s="34"/>
      <x:c r="B899" s="36"/>
      <x:c r="C899" s="72"/>
      <x:c r="D899" s="71"/>
      <x:c r="E899" s="41" t="str">
        <x:f>IF(D899="","",D899+273.15)</x:f>
      </x:c>
      <x:c r="F899" s="44" t="str">
        <x:f>IF(OR(C899="",D899="",C898=""),"",(C899-C898)/60)</x:f>
      </x:c>
      <x:c r="G899" s="44" t="str">
        <x:f>IF(D899="","",EXP(-Configuracion!$B$4/Configuracion!$B$5*(1/AVERAGE(E898:E899)-1/(Configuracion!$B$3+273.15))))</x:f>
      </x:c>
      <x:c r="H899" s="44" t="str">
        <x:f>IF(D899="","",F899*G899)</x:f>
      </x:c>
      <x:c r="I899" s="44" t="str">
        <x:f>IF(D899="","",I898+H899)</x:f>
      </x:c>
      <x:c r="J899" s="46" t="str">
        <x:f>IF(D899="","",MIN(1,I899/Configuracion!$B$11))</x:f>
      </x:c>
      <x:c r="K899" s="48" t="str">
        <x:f>IF(D899="","",MAX(0,(Configuracion!$B$11-I899)/G899))</x:f>
      </x:c>
      <x:c r="L899" s="73" t="str">
        <x:f>IF(D899="","",C899+K899*60)</x:f>
      </x:c>
      <x:c r="M899" t="str">
        <x:f>IF(D899="","",IF(J899&gt;=Configuracion!$B$13,"DESLIZAR",IF(J899&gt;=Configuracion!$B$12,"PREPARARSE","NO DESLIZAR")))</x:f>
      </x:c>
      <x:c r="N899" s="41" t="str">
        <x:f>IF(D899="","",D899-$D$8)</x:f>
      </x:c>
      <x:c r="O899" s="46" t="str">
        <x:f>IF(D899="","",MAX(0,MIN(1,N899/Configuracion!$B$10)))</x:f>
      </x:c>
    </x:row>
    <x:row r="900">
      <x:c r="A900" s="34"/>
      <x:c r="B900" s="36"/>
      <x:c r="C900" s="72"/>
      <x:c r="D900" s="71"/>
      <x:c r="E900" s="41" t="str">
        <x:f>IF(D900="","",D900+273.15)</x:f>
      </x:c>
      <x:c r="F900" s="44" t="str">
        <x:f>IF(OR(C900="",D900="",C899=""),"",(C900-C899)/60)</x:f>
      </x:c>
      <x:c r="G900" s="44" t="str">
        <x:f>IF(D900="","",EXP(-Configuracion!$B$4/Configuracion!$B$5*(1/AVERAGE(E899:E900)-1/(Configuracion!$B$3+273.15))))</x:f>
      </x:c>
      <x:c r="H900" s="44" t="str">
        <x:f>IF(D900="","",F900*G900)</x:f>
      </x:c>
      <x:c r="I900" s="44" t="str">
        <x:f>IF(D900="","",I899+H900)</x:f>
      </x:c>
      <x:c r="J900" s="46" t="str">
        <x:f>IF(D900="","",MIN(1,I900/Configuracion!$B$11))</x:f>
      </x:c>
      <x:c r="K900" s="48" t="str">
        <x:f>IF(D900="","",MAX(0,(Configuracion!$B$11-I900)/G900))</x:f>
      </x:c>
      <x:c r="L900" s="73" t="str">
        <x:f>IF(D900="","",C900+K900*60)</x:f>
      </x:c>
      <x:c r="M900" t="str">
        <x:f>IF(D900="","",IF(J900&gt;=Configuracion!$B$13,"DESLIZAR",IF(J900&gt;=Configuracion!$B$12,"PREPARARSE","NO DESLIZAR")))</x:f>
      </x:c>
      <x:c r="N900" s="41" t="str">
        <x:f>IF(D900="","",D900-$D$8)</x:f>
      </x:c>
      <x:c r="O900" s="46" t="str">
        <x:f>IF(D900="","",MAX(0,MIN(1,N900/Configuracion!$B$10)))</x:f>
      </x:c>
    </x:row>
    <x:row r="901">
      <x:c r="A901" s="34"/>
      <x:c r="B901" s="36"/>
      <x:c r="C901" s="72"/>
      <x:c r="D901" s="71"/>
      <x:c r="E901" s="41" t="str">
        <x:f>IF(D901="","",D901+273.15)</x:f>
      </x:c>
      <x:c r="F901" s="44" t="str">
        <x:f>IF(OR(C901="",D901="",C900=""),"",(C901-C900)/60)</x:f>
      </x:c>
      <x:c r="G901" s="44" t="str">
        <x:f>IF(D901="","",EXP(-Configuracion!$B$4/Configuracion!$B$5*(1/AVERAGE(E900:E901)-1/(Configuracion!$B$3+273.15))))</x:f>
      </x:c>
      <x:c r="H901" s="44" t="str">
        <x:f>IF(D901="","",F901*G901)</x:f>
      </x:c>
      <x:c r="I901" s="44" t="str">
        <x:f>IF(D901="","",I900+H901)</x:f>
      </x:c>
      <x:c r="J901" s="46" t="str">
        <x:f>IF(D901="","",MIN(1,I901/Configuracion!$B$11))</x:f>
      </x:c>
      <x:c r="K901" s="48" t="str">
        <x:f>IF(D901="","",MAX(0,(Configuracion!$B$11-I901)/G901))</x:f>
      </x:c>
      <x:c r="L901" s="73" t="str">
        <x:f>IF(D901="","",C901+K901*60)</x:f>
      </x:c>
      <x:c r="M901" t="str">
        <x:f>IF(D901="","",IF(J901&gt;=Configuracion!$B$13,"DESLIZAR",IF(J901&gt;=Configuracion!$B$12,"PREPARARSE","NO DESLIZAR")))</x:f>
      </x:c>
      <x:c r="N901" s="41" t="str">
        <x:f>IF(D901="","",D901-$D$8)</x:f>
      </x:c>
      <x:c r="O901" s="46" t="str">
        <x:f>IF(D901="","",MAX(0,MIN(1,N901/Configuracion!$B$10)))</x:f>
      </x:c>
    </x:row>
    <x:row r="902">
      <x:c r="A902" s="34"/>
      <x:c r="B902" s="36"/>
      <x:c r="C902" s="72"/>
      <x:c r="D902" s="71"/>
      <x:c r="E902" s="41" t="str">
        <x:f>IF(D902="","",D902+273.15)</x:f>
      </x:c>
      <x:c r="F902" s="44" t="str">
        <x:f>IF(OR(C902="",D902="",C901=""),"",(C902-C901)/60)</x:f>
      </x:c>
      <x:c r="G902" s="44" t="str">
        <x:f>IF(D902="","",EXP(-Configuracion!$B$4/Configuracion!$B$5*(1/AVERAGE(E901:E902)-1/(Configuracion!$B$3+273.15))))</x:f>
      </x:c>
      <x:c r="H902" s="44" t="str">
        <x:f>IF(D902="","",F902*G902)</x:f>
      </x:c>
      <x:c r="I902" s="44" t="str">
        <x:f>IF(D902="","",I901+H902)</x:f>
      </x:c>
      <x:c r="J902" s="46" t="str">
        <x:f>IF(D902="","",MIN(1,I902/Configuracion!$B$11))</x:f>
      </x:c>
      <x:c r="K902" s="48" t="str">
        <x:f>IF(D902="","",MAX(0,(Configuracion!$B$11-I902)/G902))</x:f>
      </x:c>
      <x:c r="L902" s="73" t="str">
        <x:f>IF(D902="","",C902+K902*60)</x:f>
      </x:c>
      <x:c r="M902" t="str">
        <x:f>IF(D902="","",IF(J902&gt;=Configuracion!$B$13,"DESLIZAR",IF(J902&gt;=Configuracion!$B$12,"PREPARARSE","NO DESLIZAR")))</x:f>
      </x:c>
      <x:c r="N902" s="41" t="str">
        <x:f>IF(D902="","",D902-$D$8)</x:f>
      </x:c>
      <x:c r="O902" s="46" t="str">
        <x:f>IF(D902="","",MAX(0,MIN(1,N902/Configuracion!$B$10)))</x:f>
      </x:c>
    </x:row>
    <x:row r="903">
      <x:c r="A903" s="34"/>
      <x:c r="B903" s="36"/>
      <x:c r="C903" s="72"/>
      <x:c r="D903" s="71"/>
      <x:c r="E903" s="41" t="str">
        <x:f>IF(D903="","",D903+273.15)</x:f>
      </x:c>
      <x:c r="F903" s="44" t="str">
        <x:f>IF(OR(C903="",D903="",C902=""),"",(C903-C902)/60)</x:f>
      </x:c>
      <x:c r="G903" s="44" t="str">
        <x:f>IF(D903="","",EXP(-Configuracion!$B$4/Configuracion!$B$5*(1/AVERAGE(E902:E903)-1/(Configuracion!$B$3+273.15))))</x:f>
      </x:c>
      <x:c r="H903" s="44" t="str">
        <x:f>IF(D903="","",F903*G903)</x:f>
      </x:c>
      <x:c r="I903" s="44" t="str">
        <x:f>IF(D903="","",I902+H903)</x:f>
      </x:c>
      <x:c r="J903" s="46" t="str">
        <x:f>IF(D903="","",MIN(1,I903/Configuracion!$B$11))</x:f>
      </x:c>
      <x:c r="K903" s="48" t="str">
        <x:f>IF(D903="","",MAX(0,(Configuracion!$B$11-I903)/G903))</x:f>
      </x:c>
      <x:c r="L903" s="73" t="str">
        <x:f>IF(D903="","",C903+K903*60)</x:f>
      </x:c>
      <x:c r="M903" t="str">
        <x:f>IF(D903="","",IF(J903&gt;=Configuracion!$B$13,"DESLIZAR",IF(J903&gt;=Configuracion!$B$12,"PREPARARSE","NO DESLIZAR")))</x:f>
      </x:c>
      <x:c r="N903" s="41" t="str">
        <x:f>IF(D903="","",D903-$D$8)</x:f>
      </x:c>
      <x:c r="O903" s="46" t="str">
        <x:f>IF(D903="","",MAX(0,MIN(1,N903/Configuracion!$B$10)))</x:f>
      </x:c>
    </x:row>
    <x:row r="904">
      <x:c r="A904" s="34"/>
      <x:c r="B904" s="36"/>
      <x:c r="C904" s="72"/>
      <x:c r="D904" s="71"/>
      <x:c r="E904" s="41" t="str">
        <x:f>IF(D904="","",D904+273.15)</x:f>
      </x:c>
      <x:c r="F904" s="44" t="str">
        <x:f>IF(OR(C904="",D904="",C903=""),"",(C904-C903)/60)</x:f>
      </x:c>
      <x:c r="G904" s="44" t="str">
        <x:f>IF(D904="","",EXP(-Configuracion!$B$4/Configuracion!$B$5*(1/AVERAGE(E903:E904)-1/(Configuracion!$B$3+273.15))))</x:f>
      </x:c>
      <x:c r="H904" s="44" t="str">
        <x:f>IF(D904="","",F904*G904)</x:f>
      </x:c>
      <x:c r="I904" s="44" t="str">
        <x:f>IF(D904="","",I903+H904)</x:f>
      </x:c>
      <x:c r="J904" s="46" t="str">
        <x:f>IF(D904="","",MIN(1,I904/Configuracion!$B$11))</x:f>
      </x:c>
      <x:c r="K904" s="48" t="str">
        <x:f>IF(D904="","",MAX(0,(Configuracion!$B$11-I904)/G904))</x:f>
      </x:c>
      <x:c r="L904" s="73" t="str">
        <x:f>IF(D904="","",C904+K904*60)</x:f>
      </x:c>
      <x:c r="M904" t="str">
        <x:f>IF(D904="","",IF(J904&gt;=Configuracion!$B$13,"DESLIZAR",IF(J904&gt;=Configuracion!$B$12,"PREPARARSE","NO DESLIZAR")))</x:f>
      </x:c>
      <x:c r="N904" s="41" t="str">
        <x:f>IF(D904="","",D904-$D$8)</x:f>
      </x:c>
      <x:c r="O904" s="46" t="str">
        <x:f>IF(D904="","",MAX(0,MIN(1,N904/Configuracion!$B$10)))</x:f>
      </x:c>
    </x:row>
    <x:row r="905">
      <x:c r="A905" s="34"/>
      <x:c r="B905" s="36"/>
      <x:c r="C905" s="72"/>
      <x:c r="D905" s="71"/>
      <x:c r="E905" s="41" t="str">
        <x:f>IF(D905="","",D905+273.15)</x:f>
      </x:c>
      <x:c r="F905" s="44" t="str">
        <x:f>IF(OR(C905="",D905="",C904=""),"",(C905-C904)/60)</x:f>
      </x:c>
      <x:c r="G905" s="44" t="str">
        <x:f>IF(D905="","",EXP(-Configuracion!$B$4/Configuracion!$B$5*(1/AVERAGE(E904:E905)-1/(Configuracion!$B$3+273.15))))</x:f>
      </x:c>
      <x:c r="H905" s="44" t="str">
        <x:f>IF(D905="","",F905*G905)</x:f>
      </x:c>
      <x:c r="I905" s="44" t="str">
        <x:f>IF(D905="","",I904+H905)</x:f>
      </x:c>
      <x:c r="J905" s="46" t="str">
        <x:f>IF(D905="","",MIN(1,I905/Configuracion!$B$11))</x:f>
      </x:c>
      <x:c r="K905" s="48" t="str">
        <x:f>IF(D905="","",MAX(0,(Configuracion!$B$11-I905)/G905))</x:f>
      </x:c>
      <x:c r="L905" s="73" t="str">
        <x:f>IF(D905="","",C905+K905*60)</x:f>
      </x:c>
      <x:c r="M905" t="str">
        <x:f>IF(D905="","",IF(J905&gt;=Configuracion!$B$13,"DESLIZAR",IF(J905&gt;=Configuracion!$B$12,"PREPARARSE","NO DESLIZAR")))</x:f>
      </x:c>
      <x:c r="N905" s="41" t="str">
        <x:f>IF(D905="","",D905-$D$8)</x:f>
      </x:c>
      <x:c r="O905" s="46" t="str">
        <x:f>IF(D905="","",MAX(0,MIN(1,N905/Configuracion!$B$10)))</x:f>
      </x:c>
    </x:row>
    <x:row r="906">
      <x:c r="A906" s="34"/>
      <x:c r="B906" s="36"/>
      <x:c r="C906" s="72"/>
      <x:c r="D906" s="71"/>
      <x:c r="E906" s="41" t="str">
        <x:f>IF(D906="","",D906+273.15)</x:f>
      </x:c>
      <x:c r="F906" s="44" t="str">
        <x:f>IF(OR(C906="",D906="",C905=""),"",(C906-C905)/60)</x:f>
      </x:c>
      <x:c r="G906" s="44" t="str">
        <x:f>IF(D906="","",EXP(-Configuracion!$B$4/Configuracion!$B$5*(1/AVERAGE(E905:E906)-1/(Configuracion!$B$3+273.15))))</x:f>
      </x:c>
      <x:c r="H906" s="44" t="str">
        <x:f>IF(D906="","",F906*G906)</x:f>
      </x:c>
      <x:c r="I906" s="44" t="str">
        <x:f>IF(D906="","",I905+H906)</x:f>
      </x:c>
      <x:c r="J906" s="46" t="str">
        <x:f>IF(D906="","",MIN(1,I906/Configuracion!$B$11))</x:f>
      </x:c>
      <x:c r="K906" s="48" t="str">
        <x:f>IF(D906="","",MAX(0,(Configuracion!$B$11-I906)/G906))</x:f>
      </x:c>
      <x:c r="L906" s="73" t="str">
        <x:f>IF(D906="","",C906+K906*60)</x:f>
      </x:c>
      <x:c r="M906" t="str">
        <x:f>IF(D906="","",IF(J906&gt;=Configuracion!$B$13,"DESLIZAR",IF(J906&gt;=Configuracion!$B$12,"PREPARARSE","NO DESLIZAR")))</x:f>
      </x:c>
      <x:c r="N906" s="41" t="str">
        <x:f>IF(D906="","",D906-$D$8)</x:f>
      </x:c>
      <x:c r="O906" s="46" t="str">
        <x:f>IF(D906="","",MAX(0,MIN(1,N906/Configuracion!$B$10)))</x:f>
      </x:c>
    </x:row>
    <x:row r="907">
      <x:c r="A907" s="34"/>
      <x:c r="B907" s="36"/>
      <x:c r="C907" s="72"/>
      <x:c r="D907" s="71"/>
      <x:c r="E907" s="41" t="str">
        <x:f>IF(D907="","",D907+273.15)</x:f>
      </x:c>
      <x:c r="F907" s="44" t="str">
        <x:f>IF(OR(C907="",D907="",C906=""),"",(C907-C906)/60)</x:f>
      </x:c>
      <x:c r="G907" s="44" t="str">
        <x:f>IF(D907="","",EXP(-Configuracion!$B$4/Configuracion!$B$5*(1/AVERAGE(E906:E907)-1/(Configuracion!$B$3+273.15))))</x:f>
      </x:c>
      <x:c r="H907" s="44" t="str">
        <x:f>IF(D907="","",F907*G907)</x:f>
      </x:c>
      <x:c r="I907" s="44" t="str">
        <x:f>IF(D907="","",I906+H907)</x:f>
      </x:c>
      <x:c r="J907" s="46" t="str">
        <x:f>IF(D907="","",MIN(1,I907/Configuracion!$B$11))</x:f>
      </x:c>
      <x:c r="K907" s="48" t="str">
        <x:f>IF(D907="","",MAX(0,(Configuracion!$B$11-I907)/G907))</x:f>
      </x:c>
      <x:c r="L907" s="73" t="str">
        <x:f>IF(D907="","",C907+K907*60)</x:f>
      </x:c>
      <x:c r="M907" t="str">
        <x:f>IF(D907="","",IF(J907&gt;=Configuracion!$B$13,"DESLIZAR",IF(J907&gt;=Configuracion!$B$12,"PREPARARSE","NO DESLIZAR")))</x:f>
      </x:c>
      <x:c r="N907" s="41" t="str">
        <x:f>IF(D907="","",D907-$D$8)</x:f>
      </x:c>
      <x:c r="O907" s="46" t="str">
        <x:f>IF(D907="","",MAX(0,MIN(1,N907/Configuracion!$B$10)))</x:f>
      </x:c>
    </x:row>
    <x:row r="908">
      <x:c r="A908" s="34"/>
      <x:c r="B908" s="36"/>
      <x:c r="C908" s="72"/>
      <x:c r="D908" s="71"/>
      <x:c r="E908" s="41" t="str">
        <x:f>IF(D908="","",D908+273.15)</x:f>
      </x:c>
      <x:c r="F908" s="44" t="str">
        <x:f>IF(OR(C908="",D908="",C907=""),"",(C908-C907)/60)</x:f>
      </x:c>
      <x:c r="G908" s="44" t="str">
        <x:f>IF(D908="","",EXP(-Configuracion!$B$4/Configuracion!$B$5*(1/AVERAGE(E907:E908)-1/(Configuracion!$B$3+273.15))))</x:f>
      </x:c>
      <x:c r="H908" s="44" t="str">
        <x:f>IF(D908="","",F908*G908)</x:f>
      </x:c>
      <x:c r="I908" s="44" t="str">
        <x:f>IF(D908="","",I907+H908)</x:f>
      </x:c>
      <x:c r="J908" s="46" t="str">
        <x:f>IF(D908="","",MIN(1,I908/Configuracion!$B$11))</x:f>
      </x:c>
      <x:c r="K908" s="48" t="str">
        <x:f>IF(D908="","",MAX(0,(Configuracion!$B$11-I908)/G908))</x:f>
      </x:c>
      <x:c r="L908" s="73" t="str">
        <x:f>IF(D908="","",C908+K908*60)</x:f>
      </x:c>
      <x:c r="M908" t="str">
        <x:f>IF(D908="","",IF(J908&gt;=Configuracion!$B$13,"DESLIZAR",IF(J908&gt;=Configuracion!$B$12,"PREPARARSE","NO DESLIZAR")))</x:f>
      </x:c>
      <x:c r="N908" s="41" t="str">
        <x:f>IF(D908="","",D908-$D$8)</x:f>
      </x:c>
      <x:c r="O908" s="46" t="str">
        <x:f>IF(D908="","",MAX(0,MIN(1,N908/Configuracion!$B$10)))</x:f>
      </x:c>
    </x:row>
    <x:row r="909">
      <x:c r="A909" s="34"/>
      <x:c r="B909" s="36"/>
      <x:c r="C909" s="72"/>
      <x:c r="D909" s="71"/>
      <x:c r="E909" s="41" t="str">
        <x:f>IF(D909="","",D909+273.15)</x:f>
      </x:c>
      <x:c r="F909" s="44" t="str">
        <x:f>IF(OR(C909="",D909="",C908=""),"",(C909-C908)/60)</x:f>
      </x:c>
      <x:c r="G909" s="44" t="str">
        <x:f>IF(D909="","",EXP(-Configuracion!$B$4/Configuracion!$B$5*(1/AVERAGE(E908:E909)-1/(Configuracion!$B$3+273.15))))</x:f>
      </x:c>
      <x:c r="H909" s="44" t="str">
        <x:f>IF(D909="","",F909*G909)</x:f>
      </x:c>
      <x:c r="I909" s="44" t="str">
        <x:f>IF(D909="","",I908+H909)</x:f>
      </x:c>
      <x:c r="J909" s="46" t="str">
        <x:f>IF(D909="","",MIN(1,I909/Configuracion!$B$11))</x:f>
      </x:c>
      <x:c r="K909" s="48" t="str">
        <x:f>IF(D909="","",MAX(0,(Configuracion!$B$11-I909)/G909))</x:f>
      </x:c>
      <x:c r="L909" s="73" t="str">
        <x:f>IF(D909="","",C909+K909*60)</x:f>
      </x:c>
      <x:c r="M909" t="str">
        <x:f>IF(D909="","",IF(J909&gt;=Configuracion!$B$13,"DESLIZAR",IF(J909&gt;=Configuracion!$B$12,"PREPARARSE","NO DESLIZAR")))</x:f>
      </x:c>
      <x:c r="N909" s="41" t="str">
        <x:f>IF(D909="","",D909-$D$8)</x:f>
      </x:c>
      <x:c r="O909" s="46" t="str">
        <x:f>IF(D909="","",MAX(0,MIN(1,N909/Configuracion!$B$10)))</x:f>
      </x:c>
    </x:row>
    <x:row r="910">
      <x:c r="A910" s="34"/>
      <x:c r="B910" s="36"/>
      <x:c r="C910" s="72"/>
      <x:c r="D910" s="71"/>
      <x:c r="E910" s="41" t="str">
        <x:f>IF(D910="","",D910+273.15)</x:f>
      </x:c>
      <x:c r="F910" s="44" t="str">
        <x:f>IF(OR(C910="",D910="",C909=""),"",(C910-C909)/60)</x:f>
      </x:c>
      <x:c r="G910" s="44" t="str">
        <x:f>IF(D910="","",EXP(-Configuracion!$B$4/Configuracion!$B$5*(1/AVERAGE(E909:E910)-1/(Configuracion!$B$3+273.15))))</x:f>
      </x:c>
      <x:c r="H910" s="44" t="str">
        <x:f>IF(D910="","",F910*G910)</x:f>
      </x:c>
      <x:c r="I910" s="44" t="str">
        <x:f>IF(D910="","",I909+H910)</x:f>
      </x:c>
      <x:c r="J910" s="46" t="str">
        <x:f>IF(D910="","",MIN(1,I910/Configuracion!$B$11))</x:f>
      </x:c>
      <x:c r="K910" s="48" t="str">
        <x:f>IF(D910="","",MAX(0,(Configuracion!$B$11-I910)/G910))</x:f>
      </x:c>
      <x:c r="L910" s="73" t="str">
        <x:f>IF(D910="","",C910+K910*60)</x:f>
      </x:c>
      <x:c r="M910" t="str">
        <x:f>IF(D910="","",IF(J910&gt;=Configuracion!$B$13,"DESLIZAR",IF(J910&gt;=Configuracion!$B$12,"PREPARARSE","NO DESLIZAR")))</x:f>
      </x:c>
      <x:c r="N910" s="41" t="str">
        <x:f>IF(D910="","",D910-$D$8)</x:f>
      </x:c>
      <x:c r="O910" s="46" t="str">
        <x:f>IF(D910="","",MAX(0,MIN(1,N910/Configuracion!$B$10)))</x:f>
      </x:c>
    </x:row>
    <x:row r="911">
      <x:c r="A911" s="34"/>
      <x:c r="B911" s="36"/>
      <x:c r="C911" s="72"/>
      <x:c r="D911" s="71"/>
      <x:c r="E911" s="41" t="str">
        <x:f>IF(D911="","",D911+273.15)</x:f>
      </x:c>
      <x:c r="F911" s="44" t="str">
        <x:f>IF(OR(C911="",D911="",C910=""),"",(C911-C910)/60)</x:f>
      </x:c>
      <x:c r="G911" s="44" t="str">
        <x:f>IF(D911="","",EXP(-Configuracion!$B$4/Configuracion!$B$5*(1/AVERAGE(E910:E911)-1/(Configuracion!$B$3+273.15))))</x:f>
      </x:c>
      <x:c r="H911" s="44" t="str">
        <x:f>IF(D911="","",F911*G911)</x:f>
      </x:c>
      <x:c r="I911" s="44" t="str">
        <x:f>IF(D911="","",I910+H911)</x:f>
      </x:c>
      <x:c r="J911" s="46" t="str">
        <x:f>IF(D911="","",MIN(1,I911/Configuracion!$B$11))</x:f>
      </x:c>
      <x:c r="K911" s="48" t="str">
        <x:f>IF(D911="","",MAX(0,(Configuracion!$B$11-I911)/G911))</x:f>
      </x:c>
      <x:c r="L911" s="73" t="str">
        <x:f>IF(D911="","",C911+K911*60)</x:f>
      </x:c>
      <x:c r="M911" t="str">
        <x:f>IF(D911="","",IF(J911&gt;=Configuracion!$B$13,"DESLIZAR",IF(J911&gt;=Configuracion!$B$12,"PREPARARSE","NO DESLIZAR")))</x:f>
      </x:c>
      <x:c r="N911" s="41" t="str">
        <x:f>IF(D911="","",D911-$D$8)</x:f>
      </x:c>
      <x:c r="O911" s="46" t="str">
        <x:f>IF(D911="","",MAX(0,MIN(1,N911/Configuracion!$B$10)))</x:f>
      </x:c>
    </x:row>
    <x:row r="912">
      <x:c r="A912" s="34"/>
      <x:c r="B912" s="36"/>
      <x:c r="C912" s="72"/>
      <x:c r="D912" s="71"/>
      <x:c r="E912" s="41" t="str">
        <x:f>IF(D912="","",D912+273.15)</x:f>
      </x:c>
      <x:c r="F912" s="44" t="str">
        <x:f>IF(OR(C912="",D912="",C911=""),"",(C912-C911)/60)</x:f>
      </x:c>
      <x:c r="G912" s="44" t="str">
        <x:f>IF(D912="","",EXP(-Configuracion!$B$4/Configuracion!$B$5*(1/AVERAGE(E911:E912)-1/(Configuracion!$B$3+273.15))))</x:f>
      </x:c>
      <x:c r="H912" s="44" t="str">
        <x:f>IF(D912="","",F912*G912)</x:f>
      </x:c>
      <x:c r="I912" s="44" t="str">
        <x:f>IF(D912="","",I911+H912)</x:f>
      </x:c>
      <x:c r="J912" s="46" t="str">
        <x:f>IF(D912="","",MIN(1,I912/Configuracion!$B$11))</x:f>
      </x:c>
      <x:c r="K912" s="48" t="str">
        <x:f>IF(D912="","",MAX(0,(Configuracion!$B$11-I912)/G912))</x:f>
      </x:c>
      <x:c r="L912" s="73" t="str">
        <x:f>IF(D912="","",C912+K912*60)</x:f>
      </x:c>
      <x:c r="M912" t="str">
        <x:f>IF(D912="","",IF(J912&gt;=Configuracion!$B$13,"DESLIZAR",IF(J912&gt;=Configuracion!$B$12,"PREPARARSE","NO DESLIZAR")))</x:f>
      </x:c>
      <x:c r="N912" s="41" t="str">
        <x:f>IF(D912="","",D912-$D$8)</x:f>
      </x:c>
      <x:c r="O912" s="46" t="str">
        <x:f>IF(D912="","",MAX(0,MIN(1,N912/Configuracion!$B$10)))</x:f>
      </x:c>
    </x:row>
    <x:row r="913">
      <x:c r="A913" s="34"/>
      <x:c r="B913" s="36"/>
      <x:c r="C913" s="72"/>
      <x:c r="D913" s="71"/>
      <x:c r="E913" s="41" t="str">
        <x:f>IF(D913="","",D913+273.15)</x:f>
      </x:c>
      <x:c r="F913" s="44" t="str">
        <x:f>IF(OR(C913="",D913="",C912=""),"",(C913-C912)/60)</x:f>
      </x:c>
      <x:c r="G913" s="44" t="str">
        <x:f>IF(D913="","",EXP(-Configuracion!$B$4/Configuracion!$B$5*(1/AVERAGE(E912:E913)-1/(Configuracion!$B$3+273.15))))</x:f>
      </x:c>
      <x:c r="H913" s="44" t="str">
        <x:f>IF(D913="","",F913*G913)</x:f>
      </x:c>
      <x:c r="I913" s="44" t="str">
        <x:f>IF(D913="","",I912+H913)</x:f>
      </x:c>
      <x:c r="J913" s="46" t="str">
        <x:f>IF(D913="","",MIN(1,I913/Configuracion!$B$11))</x:f>
      </x:c>
      <x:c r="K913" s="48" t="str">
        <x:f>IF(D913="","",MAX(0,(Configuracion!$B$11-I913)/G913))</x:f>
      </x:c>
      <x:c r="L913" s="73" t="str">
        <x:f>IF(D913="","",C913+K913*60)</x:f>
      </x:c>
      <x:c r="M913" t="str">
        <x:f>IF(D913="","",IF(J913&gt;=Configuracion!$B$13,"DESLIZAR",IF(J913&gt;=Configuracion!$B$12,"PREPARARSE","NO DESLIZAR")))</x:f>
      </x:c>
      <x:c r="N913" s="41" t="str">
        <x:f>IF(D913="","",D913-$D$8)</x:f>
      </x:c>
      <x:c r="O913" s="46" t="str">
        <x:f>IF(D913="","",MAX(0,MIN(1,N913/Configuracion!$B$10)))</x:f>
      </x:c>
    </x:row>
    <x:row r="914">
      <x:c r="A914" s="34"/>
      <x:c r="B914" s="36"/>
      <x:c r="C914" s="72"/>
      <x:c r="D914" s="71"/>
      <x:c r="E914" s="41" t="str">
        <x:f>IF(D914="","",D914+273.15)</x:f>
      </x:c>
      <x:c r="F914" s="44" t="str">
        <x:f>IF(OR(C914="",D914="",C913=""),"",(C914-C913)/60)</x:f>
      </x:c>
      <x:c r="G914" s="44" t="str">
        <x:f>IF(D914="","",EXP(-Configuracion!$B$4/Configuracion!$B$5*(1/AVERAGE(E913:E914)-1/(Configuracion!$B$3+273.15))))</x:f>
      </x:c>
      <x:c r="H914" s="44" t="str">
        <x:f>IF(D914="","",F914*G914)</x:f>
      </x:c>
      <x:c r="I914" s="44" t="str">
        <x:f>IF(D914="","",I913+H914)</x:f>
      </x:c>
      <x:c r="J914" s="46" t="str">
        <x:f>IF(D914="","",MIN(1,I914/Configuracion!$B$11))</x:f>
      </x:c>
      <x:c r="K914" s="48" t="str">
        <x:f>IF(D914="","",MAX(0,(Configuracion!$B$11-I914)/G914))</x:f>
      </x:c>
      <x:c r="L914" s="73" t="str">
        <x:f>IF(D914="","",C914+K914*60)</x:f>
      </x:c>
      <x:c r="M914" t="str">
        <x:f>IF(D914="","",IF(J914&gt;=Configuracion!$B$13,"DESLIZAR",IF(J914&gt;=Configuracion!$B$12,"PREPARARSE","NO DESLIZAR")))</x:f>
      </x:c>
      <x:c r="N914" s="41" t="str">
        <x:f>IF(D914="","",D914-$D$8)</x:f>
      </x:c>
      <x:c r="O914" s="46" t="str">
        <x:f>IF(D914="","",MAX(0,MIN(1,N914/Configuracion!$B$10)))</x:f>
      </x:c>
    </x:row>
    <x:row r="915">
      <x:c r="A915" s="34"/>
      <x:c r="B915" s="36"/>
      <x:c r="C915" s="72"/>
      <x:c r="D915" s="71"/>
      <x:c r="E915" s="41" t="str">
        <x:f>IF(D915="","",D915+273.15)</x:f>
      </x:c>
      <x:c r="F915" s="44" t="str">
        <x:f>IF(OR(C915="",D915="",C914=""),"",(C915-C914)/60)</x:f>
      </x:c>
      <x:c r="G915" s="44" t="str">
        <x:f>IF(D915="","",EXP(-Configuracion!$B$4/Configuracion!$B$5*(1/AVERAGE(E914:E915)-1/(Configuracion!$B$3+273.15))))</x:f>
      </x:c>
      <x:c r="H915" s="44" t="str">
        <x:f>IF(D915="","",F915*G915)</x:f>
      </x:c>
      <x:c r="I915" s="44" t="str">
        <x:f>IF(D915="","",I914+H915)</x:f>
      </x:c>
      <x:c r="J915" s="46" t="str">
        <x:f>IF(D915="","",MIN(1,I915/Configuracion!$B$11))</x:f>
      </x:c>
      <x:c r="K915" s="48" t="str">
        <x:f>IF(D915="","",MAX(0,(Configuracion!$B$11-I915)/G915))</x:f>
      </x:c>
      <x:c r="L915" s="73" t="str">
        <x:f>IF(D915="","",C915+K915*60)</x:f>
      </x:c>
      <x:c r="M915" t="str">
        <x:f>IF(D915="","",IF(J915&gt;=Configuracion!$B$13,"DESLIZAR",IF(J915&gt;=Configuracion!$B$12,"PREPARARSE","NO DESLIZAR")))</x:f>
      </x:c>
      <x:c r="N915" s="41" t="str">
        <x:f>IF(D915="","",D915-$D$8)</x:f>
      </x:c>
      <x:c r="O915" s="46" t="str">
        <x:f>IF(D915="","",MAX(0,MIN(1,N915/Configuracion!$B$10)))</x:f>
      </x:c>
    </x:row>
    <x:row r="916">
      <x:c r="A916" s="34"/>
      <x:c r="B916" s="36"/>
      <x:c r="C916" s="72"/>
      <x:c r="D916" s="71"/>
      <x:c r="E916" s="41" t="str">
        <x:f>IF(D916="","",D916+273.15)</x:f>
      </x:c>
      <x:c r="F916" s="44" t="str">
        <x:f>IF(OR(C916="",D916="",C915=""),"",(C916-C915)/60)</x:f>
      </x:c>
      <x:c r="G916" s="44" t="str">
        <x:f>IF(D916="","",EXP(-Configuracion!$B$4/Configuracion!$B$5*(1/AVERAGE(E915:E916)-1/(Configuracion!$B$3+273.15))))</x:f>
      </x:c>
      <x:c r="H916" s="44" t="str">
        <x:f>IF(D916="","",F916*G916)</x:f>
      </x:c>
      <x:c r="I916" s="44" t="str">
        <x:f>IF(D916="","",I915+H916)</x:f>
      </x:c>
      <x:c r="J916" s="46" t="str">
        <x:f>IF(D916="","",MIN(1,I916/Configuracion!$B$11))</x:f>
      </x:c>
      <x:c r="K916" s="48" t="str">
        <x:f>IF(D916="","",MAX(0,(Configuracion!$B$11-I916)/G916))</x:f>
      </x:c>
      <x:c r="L916" s="73" t="str">
        <x:f>IF(D916="","",C916+K916*60)</x:f>
      </x:c>
      <x:c r="M916" t="str">
        <x:f>IF(D916="","",IF(J916&gt;=Configuracion!$B$13,"DESLIZAR",IF(J916&gt;=Configuracion!$B$12,"PREPARARSE","NO DESLIZAR")))</x:f>
      </x:c>
      <x:c r="N916" s="41" t="str">
        <x:f>IF(D916="","",D916-$D$8)</x:f>
      </x:c>
      <x:c r="O916" s="46" t="str">
        <x:f>IF(D916="","",MAX(0,MIN(1,N916/Configuracion!$B$10)))</x:f>
      </x:c>
    </x:row>
    <x:row r="917">
      <x:c r="A917" s="34"/>
      <x:c r="B917" s="36"/>
      <x:c r="C917" s="72"/>
      <x:c r="D917" s="71"/>
      <x:c r="E917" s="41" t="str">
        <x:f>IF(D917="","",D917+273.15)</x:f>
      </x:c>
      <x:c r="F917" s="44" t="str">
        <x:f>IF(OR(C917="",D917="",C916=""),"",(C917-C916)/60)</x:f>
      </x:c>
      <x:c r="G917" s="44" t="str">
        <x:f>IF(D917="","",EXP(-Configuracion!$B$4/Configuracion!$B$5*(1/AVERAGE(E916:E917)-1/(Configuracion!$B$3+273.15))))</x:f>
      </x:c>
      <x:c r="H917" s="44" t="str">
        <x:f>IF(D917="","",F917*G917)</x:f>
      </x:c>
      <x:c r="I917" s="44" t="str">
        <x:f>IF(D917="","",I916+H917)</x:f>
      </x:c>
      <x:c r="J917" s="46" t="str">
        <x:f>IF(D917="","",MIN(1,I917/Configuracion!$B$11))</x:f>
      </x:c>
      <x:c r="K917" s="48" t="str">
        <x:f>IF(D917="","",MAX(0,(Configuracion!$B$11-I917)/G917))</x:f>
      </x:c>
      <x:c r="L917" s="73" t="str">
        <x:f>IF(D917="","",C917+K917*60)</x:f>
      </x:c>
      <x:c r="M917" t="str">
        <x:f>IF(D917="","",IF(J917&gt;=Configuracion!$B$13,"DESLIZAR",IF(J917&gt;=Configuracion!$B$12,"PREPARARSE","NO DESLIZAR")))</x:f>
      </x:c>
      <x:c r="N917" s="41" t="str">
        <x:f>IF(D917="","",D917-$D$8)</x:f>
      </x:c>
      <x:c r="O917" s="46" t="str">
        <x:f>IF(D917="","",MAX(0,MIN(1,N917/Configuracion!$B$10)))</x:f>
      </x:c>
    </x:row>
    <x:row r="918">
      <x:c r="A918" s="34"/>
      <x:c r="B918" s="36"/>
      <x:c r="C918" s="72"/>
      <x:c r="D918" s="71"/>
      <x:c r="E918" s="41" t="str">
        <x:f>IF(D918="","",D918+273.15)</x:f>
      </x:c>
      <x:c r="F918" s="44" t="str">
        <x:f>IF(OR(C918="",D918="",C917=""),"",(C918-C917)/60)</x:f>
      </x:c>
      <x:c r="G918" s="44" t="str">
        <x:f>IF(D918="","",EXP(-Configuracion!$B$4/Configuracion!$B$5*(1/AVERAGE(E917:E918)-1/(Configuracion!$B$3+273.15))))</x:f>
      </x:c>
      <x:c r="H918" s="44" t="str">
        <x:f>IF(D918="","",F918*G918)</x:f>
      </x:c>
      <x:c r="I918" s="44" t="str">
        <x:f>IF(D918="","",I917+H918)</x:f>
      </x:c>
      <x:c r="J918" s="46" t="str">
        <x:f>IF(D918="","",MIN(1,I918/Configuracion!$B$11))</x:f>
      </x:c>
      <x:c r="K918" s="48" t="str">
        <x:f>IF(D918="","",MAX(0,(Configuracion!$B$11-I918)/G918))</x:f>
      </x:c>
      <x:c r="L918" s="73" t="str">
        <x:f>IF(D918="","",C918+K918*60)</x:f>
      </x:c>
      <x:c r="M918" t="str">
        <x:f>IF(D918="","",IF(J918&gt;=Configuracion!$B$13,"DESLIZAR",IF(J918&gt;=Configuracion!$B$12,"PREPARARSE","NO DESLIZAR")))</x:f>
      </x:c>
      <x:c r="N918" s="41" t="str">
        <x:f>IF(D918="","",D918-$D$8)</x:f>
      </x:c>
      <x:c r="O918" s="46" t="str">
        <x:f>IF(D918="","",MAX(0,MIN(1,N918/Configuracion!$B$10)))</x:f>
      </x:c>
    </x:row>
    <x:row r="919">
      <x:c r="A919" s="34"/>
      <x:c r="B919" s="36"/>
      <x:c r="C919" s="72"/>
      <x:c r="D919" s="71"/>
      <x:c r="E919" s="41" t="str">
        <x:f>IF(D919="","",D919+273.15)</x:f>
      </x:c>
      <x:c r="F919" s="44" t="str">
        <x:f>IF(OR(C919="",D919="",C918=""),"",(C919-C918)/60)</x:f>
      </x:c>
      <x:c r="G919" s="44" t="str">
        <x:f>IF(D919="","",EXP(-Configuracion!$B$4/Configuracion!$B$5*(1/AVERAGE(E918:E919)-1/(Configuracion!$B$3+273.15))))</x:f>
      </x:c>
      <x:c r="H919" s="44" t="str">
        <x:f>IF(D919="","",F919*G919)</x:f>
      </x:c>
      <x:c r="I919" s="44" t="str">
        <x:f>IF(D919="","",I918+H919)</x:f>
      </x:c>
      <x:c r="J919" s="46" t="str">
        <x:f>IF(D919="","",MIN(1,I919/Configuracion!$B$11))</x:f>
      </x:c>
      <x:c r="K919" s="48" t="str">
        <x:f>IF(D919="","",MAX(0,(Configuracion!$B$11-I919)/G919))</x:f>
      </x:c>
      <x:c r="L919" s="73" t="str">
        <x:f>IF(D919="","",C919+K919*60)</x:f>
      </x:c>
      <x:c r="M919" t="str">
        <x:f>IF(D919="","",IF(J919&gt;=Configuracion!$B$13,"DESLIZAR",IF(J919&gt;=Configuracion!$B$12,"PREPARARSE","NO DESLIZAR")))</x:f>
      </x:c>
      <x:c r="N919" s="41" t="str">
        <x:f>IF(D919="","",D919-$D$8)</x:f>
      </x:c>
      <x:c r="O919" s="46" t="str">
        <x:f>IF(D919="","",MAX(0,MIN(1,N919/Configuracion!$B$10)))</x:f>
      </x:c>
    </x:row>
    <x:row r="920">
      <x:c r="A920" s="34"/>
      <x:c r="B920" s="36"/>
      <x:c r="C920" s="72"/>
      <x:c r="D920" s="71"/>
      <x:c r="E920" s="41" t="str">
        <x:f>IF(D920="","",D920+273.15)</x:f>
      </x:c>
      <x:c r="F920" s="44" t="str">
        <x:f>IF(OR(C920="",D920="",C919=""),"",(C920-C919)/60)</x:f>
      </x:c>
      <x:c r="G920" s="44" t="str">
        <x:f>IF(D920="","",EXP(-Configuracion!$B$4/Configuracion!$B$5*(1/AVERAGE(E919:E920)-1/(Configuracion!$B$3+273.15))))</x:f>
      </x:c>
      <x:c r="H920" s="44" t="str">
        <x:f>IF(D920="","",F920*G920)</x:f>
      </x:c>
      <x:c r="I920" s="44" t="str">
        <x:f>IF(D920="","",I919+H920)</x:f>
      </x:c>
      <x:c r="J920" s="46" t="str">
        <x:f>IF(D920="","",MIN(1,I920/Configuracion!$B$11))</x:f>
      </x:c>
      <x:c r="K920" s="48" t="str">
        <x:f>IF(D920="","",MAX(0,(Configuracion!$B$11-I920)/G920))</x:f>
      </x:c>
      <x:c r="L920" s="73" t="str">
        <x:f>IF(D920="","",C920+K920*60)</x:f>
      </x:c>
      <x:c r="M920" t="str">
        <x:f>IF(D920="","",IF(J920&gt;=Configuracion!$B$13,"DESLIZAR",IF(J920&gt;=Configuracion!$B$12,"PREPARARSE","NO DESLIZAR")))</x:f>
      </x:c>
      <x:c r="N920" s="41" t="str">
        <x:f>IF(D920="","",D920-$D$8)</x:f>
      </x:c>
      <x:c r="O920" s="46" t="str">
        <x:f>IF(D920="","",MAX(0,MIN(1,N920/Configuracion!$B$10)))</x:f>
      </x:c>
    </x:row>
    <x:row r="921">
      <x:c r="A921" s="34"/>
      <x:c r="B921" s="36"/>
      <x:c r="C921" s="72"/>
      <x:c r="D921" s="71"/>
      <x:c r="E921" s="41" t="str">
        <x:f>IF(D921="","",D921+273.15)</x:f>
      </x:c>
      <x:c r="F921" s="44" t="str">
        <x:f>IF(OR(C921="",D921="",C920=""),"",(C921-C920)/60)</x:f>
      </x:c>
      <x:c r="G921" s="44" t="str">
        <x:f>IF(D921="","",EXP(-Configuracion!$B$4/Configuracion!$B$5*(1/AVERAGE(E920:E921)-1/(Configuracion!$B$3+273.15))))</x:f>
      </x:c>
      <x:c r="H921" s="44" t="str">
        <x:f>IF(D921="","",F921*G921)</x:f>
      </x:c>
      <x:c r="I921" s="44" t="str">
        <x:f>IF(D921="","",I920+H921)</x:f>
      </x:c>
      <x:c r="J921" s="46" t="str">
        <x:f>IF(D921="","",MIN(1,I921/Configuracion!$B$11))</x:f>
      </x:c>
      <x:c r="K921" s="48" t="str">
        <x:f>IF(D921="","",MAX(0,(Configuracion!$B$11-I921)/G921))</x:f>
      </x:c>
      <x:c r="L921" s="73" t="str">
        <x:f>IF(D921="","",C921+K921*60)</x:f>
      </x:c>
      <x:c r="M921" t="str">
        <x:f>IF(D921="","",IF(J921&gt;=Configuracion!$B$13,"DESLIZAR",IF(J921&gt;=Configuracion!$B$12,"PREPARARSE","NO DESLIZAR")))</x:f>
      </x:c>
      <x:c r="N921" s="41" t="str">
        <x:f>IF(D921="","",D921-$D$8)</x:f>
      </x:c>
      <x:c r="O921" s="46" t="str">
        <x:f>IF(D921="","",MAX(0,MIN(1,N921/Configuracion!$B$10)))</x:f>
      </x:c>
    </x:row>
    <x:row r="922">
      <x:c r="A922" s="34"/>
      <x:c r="B922" s="36"/>
      <x:c r="C922" s="72"/>
      <x:c r="D922" s="71"/>
      <x:c r="E922" s="41" t="str">
        <x:f>IF(D922="","",D922+273.15)</x:f>
      </x:c>
      <x:c r="F922" s="44" t="str">
        <x:f>IF(OR(C922="",D922="",C921=""),"",(C922-C921)/60)</x:f>
      </x:c>
      <x:c r="G922" s="44" t="str">
        <x:f>IF(D922="","",EXP(-Configuracion!$B$4/Configuracion!$B$5*(1/AVERAGE(E921:E922)-1/(Configuracion!$B$3+273.15))))</x:f>
      </x:c>
      <x:c r="H922" s="44" t="str">
        <x:f>IF(D922="","",F922*G922)</x:f>
      </x:c>
      <x:c r="I922" s="44" t="str">
        <x:f>IF(D922="","",I921+H922)</x:f>
      </x:c>
      <x:c r="J922" s="46" t="str">
        <x:f>IF(D922="","",MIN(1,I922/Configuracion!$B$11))</x:f>
      </x:c>
      <x:c r="K922" s="48" t="str">
        <x:f>IF(D922="","",MAX(0,(Configuracion!$B$11-I922)/G922))</x:f>
      </x:c>
      <x:c r="L922" s="73" t="str">
        <x:f>IF(D922="","",C922+K922*60)</x:f>
      </x:c>
      <x:c r="M922" t="str">
        <x:f>IF(D922="","",IF(J922&gt;=Configuracion!$B$13,"DESLIZAR",IF(J922&gt;=Configuracion!$B$12,"PREPARARSE","NO DESLIZAR")))</x:f>
      </x:c>
      <x:c r="N922" s="41" t="str">
        <x:f>IF(D922="","",D922-$D$8)</x:f>
      </x:c>
      <x:c r="O922" s="46" t="str">
        <x:f>IF(D922="","",MAX(0,MIN(1,N922/Configuracion!$B$10)))</x:f>
      </x:c>
    </x:row>
    <x:row r="923">
      <x:c r="A923" s="34"/>
      <x:c r="B923" s="36"/>
      <x:c r="C923" s="72"/>
      <x:c r="D923" s="71"/>
      <x:c r="E923" s="41" t="str">
        <x:f>IF(D923="","",D923+273.15)</x:f>
      </x:c>
      <x:c r="F923" s="44" t="str">
        <x:f>IF(OR(C923="",D923="",C922=""),"",(C923-C922)/60)</x:f>
      </x:c>
      <x:c r="G923" s="44" t="str">
        <x:f>IF(D923="","",EXP(-Configuracion!$B$4/Configuracion!$B$5*(1/AVERAGE(E922:E923)-1/(Configuracion!$B$3+273.15))))</x:f>
      </x:c>
      <x:c r="H923" s="44" t="str">
        <x:f>IF(D923="","",F923*G923)</x:f>
      </x:c>
      <x:c r="I923" s="44" t="str">
        <x:f>IF(D923="","",I922+H923)</x:f>
      </x:c>
      <x:c r="J923" s="46" t="str">
        <x:f>IF(D923="","",MIN(1,I923/Configuracion!$B$11))</x:f>
      </x:c>
      <x:c r="K923" s="48" t="str">
        <x:f>IF(D923="","",MAX(0,(Configuracion!$B$11-I923)/G923))</x:f>
      </x:c>
      <x:c r="L923" s="73" t="str">
        <x:f>IF(D923="","",C923+K923*60)</x:f>
      </x:c>
      <x:c r="M923" t="str">
        <x:f>IF(D923="","",IF(J923&gt;=Configuracion!$B$13,"DESLIZAR",IF(J923&gt;=Configuracion!$B$12,"PREPARARSE","NO DESLIZAR")))</x:f>
      </x:c>
      <x:c r="N923" s="41" t="str">
        <x:f>IF(D923="","",D923-$D$8)</x:f>
      </x:c>
      <x:c r="O923" s="46" t="str">
        <x:f>IF(D923="","",MAX(0,MIN(1,N923/Configuracion!$B$10)))</x:f>
      </x:c>
    </x:row>
    <x:row r="924">
      <x:c r="A924" s="34"/>
      <x:c r="B924" s="36"/>
      <x:c r="C924" s="72"/>
      <x:c r="D924" s="71"/>
      <x:c r="E924" s="41" t="str">
        <x:f>IF(D924="","",D924+273.15)</x:f>
      </x:c>
      <x:c r="F924" s="44" t="str">
        <x:f>IF(OR(C924="",D924="",C923=""),"",(C924-C923)/60)</x:f>
      </x:c>
      <x:c r="G924" s="44" t="str">
        <x:f>IF(D924="","",EXP(-Configuracion!$B$4/Configuracion!$B$5*(1/AVERAGE(E923:E924)-1/(Configuracion!$B$3+273.15))))</x:f>
      </x:c>
      <x:c r="H924" s="44" t="str">
        <x:f>IF(D924="","",F924*G924)</x:f>
      </x:c>
      <x:c r="I924" s="44" t="str">
        <x:f>IF(D924="","",I923+H924)</x:f>
      </x:c>
      <x:c r="J924" s="46" t="str">
        <x:f>IF(D924="","",MIN(1,I924/Configuracion!$B$11))</x:f>
      </x:c>
      <x:c r="K924" s="48" t="str">
        <x:f>IF(D924="","",MAX(0,(Configuracion!$B$11-I924)/G924))</x:f>
      </x:c>
      <x:c r="L924" s="73" t="str">
        <x:f>IF(D924="","",C924+K924*60)</x:f>
      </x:c>
      <x:c r="M924" t="str">
        <x:f>IF(D924="","",IF(J924&gt;=Configuracion!$B$13,"DESLIZAR",IF(J924&gt;=Configuracion!$B$12,"PREPARARSE","NO DESLIZAR")))</x:f>
      </x:c>
      <x:c r="N924" s="41" t="str">
        <x:f>IF(D924="","",D924-$D$8)</x:f>
      </x:c>
      <x:c r="O924" s="46" t="str">
        <x:f>IF(D924="","",MAX(0,MIN(1,N924/Configuracion!$B$10)))</x:f>
      </x:c>
    </x:row>
    <x:row r="925">
      <x:c r="A925" s="34"/>
      <x:c r="B925" s="36"/>
      <x:c r="C925" s="72"/>
      <x:c r="D925" s="71"/>
      <x:c r="E925" s="41" t="str">
        <x:f>IF(D925="","",D925+273.15)</x:f>
      </x:c>
      <x:c r="F925" s="44" t="str">
        <x:f>IF(OR(C925="",D925="",C924=""),"",(C925-C924)/60)</x:f>
      </x:c>
      <x:c r="G925" s="44" t="str">
        <x:f>IF(D925="","",EXP(-Configuracion!$B$4/Configuracion!$B$5*(1/AVERAGE(E924:E925)-1/(Configuracion!$B$3+273.15))))</x:f>
      </x:c>
      <x:c r="H925" s="44" t="str">
        <x:f>IF(D925="","",F925*G925)</x:f>
      </x:c>
      <x:c r="I925" s="44" t="str">
        <x:f>IF(D925="","",I924+H925)</x:f>
      </x:c>
      <x:c r="J925" s="46" t="str">
        <x:f>IF(D925="","",MIN(1,I925/Configuracion!$B$11))</x:f>
      </x:c>
      <x:c r="K925" s="48" t="str">
        <x:f>IF(D925="","",MAX(0,(Configuracion!$B$11-I925)/G925))</x:f>
      </x:c>
      <x:c r="L925" s="73" t="str">
        <x:f>IF(D925="","",C925+K925*60)</x:f>
      </x:c>
      <x:c r="M925" t="str">
        <x:f>IF(D925="","",IF(J925&gt;=Configuracion!$B$13,"DESLIZAR",IF(J925&gt;=Configuracion!$B$12,"PREPARARSE","NO DESLIZAR")))</x:f>
      </x:c>
      <x:c r="N925" s="41" t="str">
        <x:f>IF(D925="","",D925-$D$8)</x:f>
      </x:c>
      <x:c r="O925" s="46" t="str">
        <x:f>IF(D925="","",MAX(0,MIN(1,N925/Configuracion!$B$10)))</x:f>
      </x:c>
    </x:row>
    <x:row r="926">
      <x:c r="A926" s="34"/>
      <x:c r="B926" s="36"/>
      <x:c r="C926" s="72"/>
      <x:c r="D926" s="71"/>
      <x:c r="E926" s="41" t="str">
        <x:f>IF(D926="","",D926+273.15)</x:f>
      </x:c>
      <x:c r="F926" s="44" t="str">
        <x:f>IF(OR(C926="",D926="",C925=""),"",(C926-C925)/60)</x:f>
      </x:c>
      <x:c r="G926" s="44" t="str">
        <x:f>IF(D926="","",EXP(-Configuracion!$B$4/Configuracion!$B$5*(1/AVERAGE(E925:E926)-1/(Configuracion!$B$3+273.15))))</x:f>
      </x:c>
      <x:c r="H926" s="44" t="str">
        <x:f>IF(D926="","",F926*G926)</x:f>
      </x:c>
      <x:c r="I926" s="44" t="str">
        <x:f>IF(D926="","",I925+H926)</x:f>
      </x:c>
      <x:c r="J926" s="46" t="str">
        <x:f>IF(D926="","",MIN(1,I926/Configuracion!$B$11))</x:f>
      </x:c>
      <x:c r="K926" s="48" t="str">
        <x:f>IF(D926="","",MAX(0,(Configuracion!$B$11-I926)/G926))</x:f>
      </x:c>
      <x:c r="L926" s="73" t="str">
        <x:f>IF(D926="","",C926+K926*60)</x:f>
      </x:c>
      <x:c r="M926" t="str">
        <x:f>IF(D926="","",IF(J926&gt;=Configuracion!$B$13,"DESLIZAR",IF(J926&gt;=Configuracion!$B$12,"PREPARARSE","NO DESLIZAR")))</x:f>
      </x:c>
      <x:c r="N926" s="41" t="str">
        <x:f>IF(D926="","",D926-$D$8)</x:f>
      </x:c>
      <x:c r="O926" s="46" t="str">
        <x:f>IF(D926="","",MAX(0,MIN(1,N926/Configuracion!$B$10)))</x:f>
      </x:c>
    </x:row>
    <x:row r="927">
      <x:c r="A927" s="34"/>
      <x:c r="B927" s="36"/>
      <x:c r="C927" s="72"/>
      <x:c r="D927" s="71"/>
      <x:c r="E927" s="41" t="str">
        <x:f>IF(D927="","",D927+273.15)</x:f>
      </x:c>
      <x:c r="F927" s="44" t="str">
        <x:f>IF(OR(C927="",D927="",C926=""),"",(C927-C926)/60)</x:f>
      </x:c>
      <x:c r="G927" s="44" t="str">
        <x:f>IF(D927="","",EXP(-Configuracion!$B$4/Configuracion!$B$5*(1/AVERAGE(E926:E927)-1/(Configuracion!$B$3+273.15))))</x:f>
      </x:c>
      <x:c r="H927" s="44" t="str">
        <x:f>IF(D927="","",F927*G927)</x:f>
      </x:c>
      <x:c r="I927" s="44" t="str">
        <x:f>IF(D927="","",I926+H927)</x:f>
      </x:c>
      <x:c r="J927" s="46" t="str">
        <x:f>IF(D927="","",MIN(1,I927/Configuracion!$B$11))</x:f>
      </x:c>
      <x:c r="K927" s="48" t="str">
        <x:f>IF(D927="","",MAX(0,(Configuracion!$B$11-I927)/G927))</x:f>
      </x:c>
      <x:c r="L927" s="73" t="str">
        <x:f>IF(D927="","",C927+K927*60)</x:f>
      </x:c>
      <x:c r="M927" t="str">
        <x:f>IF(D927="","",IF(J927&gt;=Configuracion!$B$13,"DESLIZAR",IF(J927&gt;=Configuracion!$B$12,"PREPARARSE","NO DESLIZAR")))</x:f>
      </x:c>
      <x:c r="N927" s="41" t="str">
        <x:f>IF(D927="","",D927-$D$8)</x:f>
      </x:c>
      <x:c r="O927" s="46" t="str">
        <x:f>IF(D927="","",MAX(0,MIN(1,N927/Configuracion!$B$10)))</x:f>
      </x:c>
    </x:row>
    <x:row r="928">
      <x:c r="A928" s="34"/>
      <x:c r="B928" s="36"/>
      <x:c r="C928" s="72"/>
      <x:c r="D928" s="71"/>
      <x:c r="E928" s="41" t="str">
        <x:f>IF(D928="","",D928+273.15)</x:f>
      </x:c>
      <x:c r="F928" s="44" t="str">
        <x:f>IF(OR(C928="",D928="",C927=""),"",(C928-C927)/60)</x:f>
      </x:c>
      <x:c r="G928" s="44" t="str">
        <x:f>IF(D928="","",EXP(-Configuracion!$B$4/Configuracion!$B$5*(1/AVERAGE(E927:E928)-1/(Configuracion!$B$3+273.15))))</x:f>
      </x:c>
      <x:c r="H928" s="44" t="str">
        <x:f>IF(D928="","",F928*G928)</x:f>
      </x:c>
      <x:c r="I928" s="44" t="str">
        <x:f>IF(D928="","",I927+H928)</x:f>
      </x:c>
      <x:c r="J928" s="46" t="str">
        <x:f>IF(D928="","",MIN(1,I928/Configuracion!$B$11))</x:f>
      </x:c>
      <x:c r="K928" s="48" t="str">
        <x:f>IF(D928="","",MAX(0,(Configuracion!$B$11-I928)/G928))</x:f>
      </x:c>
      <x:c r="L928" s="73" t="str">
        <x:f>IF(D928="","",C928+K928*60)</x:f>
      </x:c>
      <x:c r="M928" t="str">
        <x:f>IF(D928="","",IF(J928&gt;=Configuracion!$B$13,"DESLIZAR",IF(J928&gt;=Configuracion!$B$12,"PREPARARSE","NO DESLIZAR")))</x:f>
      </x:c>
      <x:c r="N928" s="41" t="str">
        <x:f>IF(D928="","",D928-$D$8)</x:f>
      </x:c>
      <x:c r="O928" s="46" t="str">
        <x:f>IF(D928="","",MAX(0,MIN(1,N928/Configuracion!$B$10)))</x:f>
      </x:c>
    </x:row>
    <x:row r="929">
      <x:c r="A929" s="34"/>
      <x:c r="B929" s="36"/>
      <x:c r="C929" s="72"/>
      <x:c r="D929" s="71"/>
      <x:c r="E929" s="41" t="str">
        <x:f>IF(D929="","",D929+273.15)</x:f>
      </x:c>
      <x:c r="F929" s="44" t="str">
        <x:f>IF(OR(C929="",D929="",C928=""),"",(C929-C928)/60)</x:f>
      </x:c>
      <x:c r="G929" s="44" t="str">
        <x:f>IF(D929="","",EXP(-Configuracion!$B$4/Configuracion!$B$5*(1/AVERAGE(E928:E929)-1/(Configuracion!$B$3+273.15))))</x:f>
      </x:c>
      <x:c r="H929" s="44" t="str">
        <x:f>IF(D929="","",F929*G929)</x:f>
      </x:c>
      <x:c r="I929" s="44" t="str">
        <x:f>IF(D929="","",I928+H929)</x:f>
      </x:c>
      <x:c r="J929" s="46" t="str">
        <x:f>IF(D929="","",MIN(1,I929/Configuracion!$B$11))</x:f>
      </x:c>
      <x:c r="K929" s="48" t="str">
        <x:f>IF(D929="","",MAX(0,(Configuracion!$B$11-I929)/G929))</x:f>
      </x:c>
      <x:c r="L929" s="73" t="str">
        <x:f>IF(D929="","",C929+K929*60)</x:f>
      </x:c>
      <x:c r="M929" t="str">
        <x:f>IF(D929="","",IF(J929&gt;=Configuracion!$B$13,"DESLIZAR",IF(J929&gt;=Configuracion!$B$12,"PREPARARSE","NO DESLIZAR")))</x:f>
      </x:c>
      <x:c r="N929" s="41" t="str">
        <x:f>IF(D929="","",D929-$D$8)</x:f>
      </x:c>
      <x:c r="O929" s="46" t="str">
        <x:f>IF(D929="","",MAX(0,MIN(1,N929/Configuracion!$B$10)))</x:f>
      </x:c>
    </x:row>
    <x:row r="930">
      <x:c r="A930" s="34"/>
      <x:c r="B930" s="36"/>
      <x:c r="C930" s="72"/>
      <x:c r="D930" s="71"/>
      <x:c r="E930" s="41" t="str">
        <x:f>IF(D930="","",D930+273.15)</x:f>
      </x:c>
      <x:c r="F930" s="44" t="str">
        <x:f>IF(OR(C930="",D930="",C929=""),"",(C930-C929)/60)</x:f>
      </x:c>
      <x:c r="G930" s="44" t="str">
        <x:f>IF(D930="","",EXP(-Configuracion!$B$4/Configuracion!$B$5*(1/AVERAGE(E929:E930)-1/(Configuracion!$B$3+273.15))))</x:f>
      </x:c>
      <x:c r="H930" s="44" t="str">
        <x:f>IF(D930="","",F930*G930)</x:f>
      </x:c>
      <x:c r="I930" s="44" t="str">
        <x:f>IF(D930="","",I929+H930)</x:f>
      </x:c>
      <x:c r="J930" s="46" t="str">
        <x:f>IF(D930="","",MIN(1,I930/Configuracion!$B$11))</x:f>
      </x:c>
      <x:c r="K930" s="48" t="str">
        <x:f>IF(D930="","",MAX(0,(Configuracion!$B$11-I930)/G930))</x:f>
      </x:c>
      <x:c r="L930" s="73" t="str">
        <x:f>IF(D930="","",C930+K930*60)</x:f>
      </x:c>
      <x:c r="M930" t="str">
        <x:f>IF(D930="","",IF(J930&gt;=Configuracion!$B$13,"DESLIZAR",IF(J930&gt;=Configuracion!$B$12,"PREPARARSE","NO DESLIZAR")))</x:f>
      </x:c>
      <x:c r="N930" s="41" t="str">
        <x:f>IF(D930="","",D930-$D$8)</x:f>
      </x:c>
      <x:c r="O930" s="46" t="str">
        <x:f>IF(D930="","",MAX(0,MIN(1,N930/Configuracion!$B$10)))</x:f>
      </x:c>
    </x:row>
    <x:row r="931">
      <x:c r="A931" s="34"/>
      <x:c r="B931" s="36"/>
      <x:c r="C931" s="72"/>
      <x:c r="D931" s="71"/>
      <x:c r="E931" s="41" t="str">
        <x:f>IF(D931="","",D931+273.15)</x:f>
      </x:c>
      <x:c r="F931" s="44" t="str">
        <x:f>IF(OR(C931="",D931="",C930=""),"",(C931-C930)/60)</x:f>
      </x:c>
      <x:c r="G931" s="44" t="str">
        <x:f>IF(D931="","",EXP(-Configuracion!$B$4/Configuracion!$B$5*(1/AVERAGE(E930:E931)-1/(Configuracion!$B$3+273.15))))</x:f>
      </x:c>
      <x:c r="H931" s="44" t="str">
        <x:f>IF(D931="","",F931*G931)</x:f>
      </x:c>
      <x:c r="I931" s="44" t="str">
        <x:f>IF(D931="","",I930+H931)</x:f>
      </x:c>
      <x:c r="J931" s="46" t="str">
        <x:f>IF(D931="","",MIN(1,I931/Configuracion!$B$11))</x:f>
      </x:c>
      <x:c r="K931" s="48" t="str">
        <x:f>IF(D931="","",MAX(0,(Configuracion!$B$11-I931)/G931))</x:f>
      </x:c>
      <x:c r="L931" s="73" t="str">
        <x:f>IF(D931="","",C931+K931*60)</x:f>
      </x:c>
      <x:c r="M931" t="str">
        <x:f>IF(D931="","",IF(J931&gt;=Configuracion!$B$13,"DESLIZAR",IF(J931&gt;=Configuracion!$B$12,"PREPARARSE","NO DESLIZAR")))</x:f>
      </x:c>
      <x:c r="N931" s="41" t="str">
        <x:f>IF(D931="","",D931-$D$8)</x:f>
      </x:c>
      <x:c r="O931" s="46" t="str">
        <x:f>IF(D931="","",MAX(0,MIN(1,N931/Configuracion!$B$10)))</x:f>
      </x:c>
    </x:row>
    <x:row r="932">
      <x:c r="A932" s="34"/>
      <x:c r="B932" s="36"/>
      <x:c r="C932" s="72"/>
      <x:c r="D932" s="71"/>
      <x:c r="E932" s="41" t="str">
        <x:f>IF(D932="","",D932+273.15)</x:f>
      </x:c>
      <x:c r="F932" s="44" t="str">
        <x:f>IF(OR(C932="",D932="",C931=""),"",(C932-C931)/60)</x:f>
      </x:c>
      <x:c r="G932" s="44" t="str">
        <x:f>IF(D932="","",EXP(-Configuracion!$B$4/Configuracion!$B$5*(1/AVERAGE(E931:E932)-1/(Configuracion!$B$3+273.15))))</x:f>
      </x:c>
      <x:c r="H932" s="44" t="str">
        <x:f>IF(D932="","",F932*G932)</x:f>
      </x:c>
      <x:c r="I932" s="44" t="str">
        <x:f>IF(D932="","",I931+H932)</x:f>
      </x:c>
      <x:c r="J932" s="46" t="str">
        <x:f>IF(D932="","",MIN(1,I932/Configuracion!$B$11))</x:f>
      </x:c>
      <x:c r="K932" s="48" t="str">
        <x:f>IF(D932="","",MAX(0,(Configuracion!$B$11-I932)/G932))</x:f>
      </x:c>
      <x:c r="L932" s="73" t="str">
        <x:f>IF(D932="","",C932+K932*60)</x:f>
      </x:c>
      <x:c r="M932" t="str">
        <x:f>IF(D932="","",IF(J932&gt;=Configuracion!$B$13,"DESLIZAR",IF(J932&gt;=Configuracion!$B$12,"PREPARARSE","NO DESLIZAR")))</x:f>
      </x:c>
      <x:c r="N932" s="41" t="str">
        <x:f>IF(D932="","",D932-$D$8)</x:f>
      </x:c>
      <x:c r="O932" s="46" t="str">
        <x:f>IF(D932="","",MAX(0,MIN(1,N932/Configuracion!$B$10)))</x:f>
      </x:c>
    </x:row>
    <x:row r="933">
      <x:c r="A933" s="34"/>
      <x:c r="B933" s="36"/>
      <x:c r="C933" s="72"/>
      <x:c r="D933" s="71"/>
      <x:c r="E933" s="41" t="str">
        <x:f>IF(D933="","",D933+273.15)</x:f>
      </x:c>
      <x:c r="F933" s="44" t="str">
        <x:f>IF(OR(C933="",D933="",C932=""),"",(C933-C932)/60)</x:f>
      </x:c>
      <x:c r="G933" s="44" t="str">
        <x:f>IF(D933="","",EXP(-Configuracion!$B$4/Configuracion!$B$5*(1/AVERAGE(E932:E933)-1/(Configuracion!$B$3+273.15))))</x:f>
      </x:c>
      <x:c r="H933" s="44" t="str">
        <x:f>IF(D933="","",F933*G933)</x:f>
      </x:c>
      <x:c r="I933" s="44" t="str">
        <x:f>IF(D933="","",I932+H933)</x:f>
      </x:c>
      <x:c r="J933" s="46" t="str">
        <x:f>IF(D933="","",MIN(1,I933/Configuracion!$B$11))</x:f>
      </x:c>
      <x:c r="K933" s="48" t="str">
        <x:f>IF(D933="","",MAX(0,(Configuracion!$B$11-I933)/G933))</x:f>
      </x:c>
      <x:c r="L933" s="73" t="str">
        <x:f>IF(D933="","",C933+K933*60)</x:f>
      </x:c>
      <x:c r="M933" t="str">
        <x:f>IF(D933="","",IF(J933&gt;=Configuracion!$B$13,"DESLIZAR",IF(J933&gt;=Configuracion!$B$12,"PREPARARSE","NO DESLIZAR")))</x:f>
      </x:c>
      <x:c r="N933" s="41" t="str">
        <x:f>IF(D933="","",D933-$D$8)</x:f>
      </x:c>
      <x:c r="O933" s="46" t="str">
        <x:f>IF(D933="","",MAX(0,MIN(1,N933/Configuracion!$B$10)))</x:f>
      </x:c>
    </x:row>
    <x:row r="934">
      <x:c r="A934" s="34"/>
      <x:c r="B934" s="36"/>
      <x:c r="C934" s="72"/>
      <x:c r="D934" s="71"/>
      <x:c r="E934" s="41" t="str">
        <x:f>IF(D934="","",D934+273.15)</x:f>
      </x:c>
      <x:c r="F934" s="44" t="str">
        <x:f>IF(OR(C934="",D934="",C933=""),"",(C934-C933)/60)</x:f>
      </x:c>
      <x:c r="G934" s="44" t="str">
        <x:f>IF(D934="","",EXP(-Configuracion!$B$4/Configuracion!$B$5*(1/AVERAGE(E933:E934)-1/(Configuracion!$B$3+273.15))))</x:f>
      </x:c>
      <x:c r="H934" s="44" t="str">
        <x:f>IF(D934="","",F934*G934)</x:f>
      </x:c>
      <x:c r="I934" s="44" t="str">
        <x:f>IF(D934="","",I933+H934)</x:f>
      </x:c>
      <x:c r="J934" s="46" t="str">
        <x:f>IF(D934="","",MIN(1,I934/Configuracion!$B$11))</x:f>
      </x:c>
      <x:c r="K934" s="48" t="str">
        <x:f>IF(D934="","",MAX(0,(Configuracion!$B$11-I934)/G934))</x:f>
      </x:c>
      <x:c r="L934" s="73" t="str">
        <x:f>IF(D934="","",C934+K934*60)</x:f>
      </x:c>
      <x:c r="M934" t="str">
        <x:f>IF(D934="","",IF(J934&gt;=Configuracion!$B$13,"DESLIZAR",IF(J934&gt;=Configuracion!$B$12,"PREPARARSE","NO DESLIZAR")))</x:f>
      </x:c>
      <x:c r="N934" s="41" t="str">
        <x:f>IF(D934="","",D934-$D$8)</x:f>
      </x:c>
      <x:c r="O934" s="46" t="str">
        <x:f>IF(D934="","",MAX(0,MIN(1,N934/Configuracion!$B$10)))</x:f>
      </x:c>
    </x:row>
    <x:row r="935">
      <x:c r="A935" s="34"/>
      <x:c r="B935" s="36"/>
      <x:c r="C935" s="72"/>
      <x:c r="D935" s="71"/>
      <x:c r="E935" s="41" t="str">
        <x:f>IF(D935="","",D935+273.15)</x:f>
      </x:c>
      <x:c r="F935" s="44" t="str">
        <x:f>IF(OR(C935="",D935="",C934=""),"",(C935-C934)/60)</x:f>
      </x:c>
      <x:c r="G935" s="44" t="str">
        <x:f>IF(D935="","",EXP(-Configuracion!$B$4/Configuracion!$B$5*(1/AVERAGE(E934:E935)-1/(Configuracion!$B$3+273.15))))</x:f>
      </x:c>
      <x:c r="H935" s="44" t="str">
        <x:f>IF(D935="","",F935*G935)</x:f>
      </x:c>
      <x:c r="I935" s="44" t="str">
        <x:f>IF(D935="","",I934+H935)</x:f>
      </x:c>
      <x:c r="J935" s="46" t="str">
        <x:f>IF(D935="","",MIN(1,I935/Configuracion!$B$11))</x:f>
      </x:c>
      <x:c r="K935" s="48" t="str">
        <x:f>IF(D935="","",MAX(0,(Configuracion!$B$11-I935)/G935))</x:f>
      </x:c>
      <x:c r="L935" s="73" t="str">
        <x:f>IF(D935="","",C935+K935*60)</x:f>
      </x:c>
      <x:c r="M935" t="str">
        <x:f>IF(D935="","",IF(J935&gt;=Configuracion!$B$13,"DESLIZAR",IF(J935&gt;=Configuracion!$B$12,"PREPARARSE","NO DESLIZAR")))</x:f>
      </x:c>
      <x:c r="N935" s="41" t="str">
        <x:f>IF(D935="","",D935-$D$8)</x:f>
      </x:c>
      <x:c r="O935" s="46" t="str">
        <x:f>IF(D935="","",MAX(0,MIN(1,N935/Configuracion!$B$10)))</x:f>
      </x:c>
    </x:row>
    <x:row r="936">
      <x:c r="A936" s="34"/>
      <x:c r="B936" s="36"/>
      <x:c r="C936" s="72"/>
      <x:c r="D936" s="71"/>
      <x:c r="E936" s="41" t="str">
        <x:f>IF(D936="","",D936+273.15)</x:f>
      </x:c>
      <x:c r="F936" s="44" t="str">
        <x:f>IF(OR(C936="",D936="",C935=""),"",(C936-C935)/60)</x:f>
      </x:c>
      <x:c r="G936" s="44" t="str">
        <x:f>IF(D936="","",EXP(-Configuracion!$B$4/Configuracion!$B$5*(1/AVERAGE(E935:E936)-1/(Configuracion!$B$3+273.15))))</x:f>
      </x:c>
      <x:c r="H936" s="44" t="str">
        <x:f>IF(D936="","",F936*G936)</x:f>
      </x:c>
      <x:c r="I936" s="44" t="str">
        <x:f>IF(D936="","",I935+H936)</x:f>
      </x:c>
      <x:c r="J936" s="46" t="str">
        <x:f>IF(D936="","",MIN(1,I936/Configuracion!$B$11))</x:f>
      </x:c>
      <x:c r="K936" s="48" t="str">
        <x:f>IF(D936="","",MAX(0,(Configuracion!$B$11-I936)/G936))</x:f>
      </x:c>
      <x:c r="L936" s="73" t="str">
        <x:f>IF(D936="","",C936+K936*60)</x:f>
      </x:c>
      <x:c r="M936" t="str">
        <x:f>IF(D936="","",IF(J936&gt;=Configuracion!$B$13,"DESLIZAR",IF(J936&gt;=Configuracion!$B$12,"PREPARARSE","NO DESLIZAR")))</x:f>
      </x:c>
      <x:c r="N936" s="41" t="str">
        <x:f>IF(D936="","",D936-$D$8)</x:f>
      </x:c>
      <x:c r="O936" s="46" t="str">
        <x:f>IF(D936="","",MAX(0,MIN(1,N936/Configuracion!$B$10)))</x:f>
      </x:c>
    </x:row>
    <x:row r="937">
      <x:c r="A937" s="34"/>
      <x:c r="B937" s="36"/>
      <x:c r="C937" s="72"/>
      <x:c r="D937" s="71"/>
      <x:c r="E937" s="41" t="str">
        <x:f>IF(D937="","",D937+273.15)</x:f>
      </x:c>
      <x:c r="F937" s="44" t="str">
        <x:f>IF(OR(C937="",D937="",C936=""),"",(C937-C936)/60)</x:f>
      </x:c>
      <x:c r="G937" s="44" t="str">
        <x:f>IF(D937="","",EXP(-Configuracion!$B$4/Configuracion!$B$5*(1/AVERAGE(E936:E937)-1/(Configuracion!$B$3+273.15))))</x:f>
      </x:c>
      <x:c r="H937" s="44" t="str">
        <x:f>IF(D937="","",F937*G937)</x:f>
      </x:c>
      <x:c r="I937" s="44" t="str">
        <x:f>IF(D937="","",I936+H937)</x:f>
      </x:c>
      <x:c r="J937" s="46" t="str">
        <x:f>IF(D937="","",MIN(1,I937/Configuracion!$B$11))</x:f>
      </x:c>
      <x:c r="K937" s="48" t="str">
        <x:f>IF(D937="","",MAX(0,(Configuracion!$B$11-I937)/G937))</x:f>
      </x:c>
      <x:c r="L937" s="73" t="str">
        <x:f>IF(D937="","",C937+K937*60)</x:f>
      </x:c>
      <x:c r="M937" t="str">
        <x:f>IF(D937="","",IF(J937&gt;=Configuracion!$B$13,"DESLIZAR",IF(J937&gt;=Configuracion!$B$12,"PREPARARSE","NO DESLIZAR")))</x:f>
      </x:c>
      <x:c r="N937" s="41" t="str">
        <x:f>IF(D937="","",D937-$D$8)</x:f>
      </x:c>
      <x:c r="O937" s="46" t="str">
        <x:f>IF(D937="","",MAX(0,MIN(1,N937/Configuracion!$B$10)))</x:f>
      </x:c>
    </x:row>
    <x:row r="938">
      <x:c r="A938" s="34"/>
      <x:c r="B938" s="36"/>
      <x:c r="C938" s="72"/>
      <x:c r="D938" s="71"/>
      <x:c r="E938" s="41" t="str">
        <x:f>IF(D938="","",D938+273.15)</x:f>
      </x:c>
      <x:c r="F938" s="44" t="str">
        <x:f>IF(OR(C938="",D938="",C937=""),"",(C938-C937)/60)</x:f>
      </x:c>
      <x:c r="G938" s="44" t="str">
        <x:f>IF(D938="","",EXP(-Configuracion!$B$4/Configuracion!$B$5*(1/AVERAGE(E937:E938)-1/(Configuracion!$B$3+273.15))))</x:f>
      </x:c>
      <x:c r="H938" s="44" t="str">
        <x:f>IF(D938="","",F938*G938)</x:f>
      </x:c>
      <x:c r="I938" s="44" t="str">
        <x:f>IF(D938="","",I937+H938)</x:f>
      </x:c>
      <x:c r="J938" s="46" t="str">
        <x:f>IF(D938="","",MIN(1,I938/Configuracion!$B$11))</x:f>
      </x:c>
      <x:c r="K938" s="48" t="str">
        <x:f>IF(D938="","",MAX(0,(Configuracion!$B$11-I938)/G938))</x:f>
      </x:c>
      <x:c r="L938" s="73" t="str">
        <x:f>IF(D938="","",C938+K938*60)</x:f>
      </x:c>
      <x:c r="M938" t="str">
        <x:f>IF(D938="","",IF(J938&gt;=Configuracion!$B$13,"DESLIZAR",IF(J938&gt;=Configuracion!$B$12,"PREPARARSE","NO DESLIZAR")))</x:f>
      </x:c>
      <x:c r="N938" s="41" t="str">
        <x:f>IF(D938="","",D938-$D$8)</x:f>
      </x:c>
      <x:c r="O938" s="46" t="str">
        <x:f>IF(D938="","",MAX(0,MIN(1,N938/Configuracion!$B$10)))</x:f>
      </x:c>
    </x:row>
    <x:row r="939">
      <x:c r="A939" s="34"/>
      <x:c r="B939" s="36"/>
      <x:c r="C939" s="72"/>
      <x:c r="D939" s="71"/>
      <x:c r="E939" s="41" t="str">
        <x:f>IF(D939="","",D939+273.15)</x:f>
      </x:c>
      <x:c r="F939" s="44" t="str">
        <x:f>IF(OR(C939="",D939="",C938=""),"",(C939-C938)/60)</x:f>
      </x:c>
      <x:c r="G939" s="44" t="str">
        <x:f>IF(D939="","",EXP(-Configuracion!$B$4/Configuracion!$B$5*(1/AVERAGE(E938:E939)-1/(Configuracion!$B$3+273.15))))</x:f>
      </x:c>
      <x:c r="H939" s="44" t="str">
        <x:f>IF(D939="","",F939*G939)</x:f>
      </x:c>
      <x:c r="I939" s="44" t="str">
        <x:f>IF(D939="","",I938+H939)</x:f>
      </x:c>
      <x:c r="J939" s="46" t="str">
        <x:f>IF(D939="","",MIN(1,I939/Configuracion!$B$11))</x:f>
      </x:c>
      <x:c r="K939" s="48" t="str">
        <x:f>IF(D939="","",MAX(0,(Configuracion!$B$11-I939)/G939))</x:f>
      </x:c>
      <x:c r="L939" s="73" t="str">
        <x:f>IF(D939="","",C939+K939*60)</x:f>
      </x:c>
      <x:c r="M939" t="str">
        <x:f>IF(D939="","",IF(J939&gt;=Configuracion!$B$13,"DESLIZAR",IF(J939&gt;=Configuracion!$B$12,"PREPARARSE","NO DESLIZAR")))</x:f>
      </x:c>
      <x:c r="N939" s="41" t="str">
        <x:f>IF(D939="","",D939-$D$8)</x:f>
      </x:c>
      <x:c r="O939" s="46" t="str">
        <x:f>IF(D939="","",MAX(0,MIN(1,N939/Configuracion!$B$10)))</x:f>
      </x:c>
    </x:row>
    <x:row r="940">
      <x:c r="A940" s="34"/>
      <x:c r="B940" s="36"/>
      <x:c r="C940" s="72"/>
      <x:c r="D940" s="71"/>
      <x:c r="E940" s="41" t="str">
        <x:f>IF(D940="","",D940+273.15)</x:f>
      </x:c>
      <x:c r="F940" s="44" t="str">
        <x:f>IF(OR(C940="",D940="",C939=""),"",(C940-C939)/60)</x:f>
      </x:c>
      <x:c r="G940" s="44" t="str">
        <x:f>IF(D940="","",EXP(-Configuracion!$B$4/Configuracion!$B$5*(1/AVERAGE(E939:E940)-1/(Configuracion!$B$3+273.15))))</x:f>
      </x:c>
      <x:c r="H940" s="44" t="str">
        <x:f>IF(D940="","",F940*G940)</x:f>
      </x:c>
      <x:c r="I940" s="44" t="str">
        <x:f>IF(D940="","",I939+H940)</x:f>
      </x:c>
      <x:c r="J940" s="46" t="str">
        <x:f>IF(D940="","",MIN(1,I940/Configuracion!$B$11))</x:f>
      </x:c>
      <x:c r="K940" s="48" t="str">
        <x:f>IF(D940="","",MAX(0,(Configuracion!$B$11-I940)/G940))</x:f>
      </x:c>
      <x:c r="L940" s="73" t="str">
        <x:f>IF(D940="","",C940+K940*60)</x:f>
      </x:c>
      <x:c r="M940" t="str">
        <x:f>IF(D940="","",IF(J940&gt;=Configuracion!$B$13,"DESLIZAR",IF(J940&gt;=Configuracion!$B$12,"PREPARARSE","NO DESLIZAR")))</x:f>
      </x:c>
      <x:c r="N940" s="41" t="str">
        <x:f>IF(D940="","",D940-$D$8)</x:f>
      </x:c>
      <x:c r="O940" s="46" t="str">
        <x:f>IF(D940="","",MAX(0,MIN(1,N940/Configuracion!$B$10)))</x:f>
      </x:c>
    </x:row>
    <x:row r="941">
      <x:c r="A941" s="34"/>
      <x:c r="B941" s="36"/>
      <x:c r="C941" s="72"/>
      <x:c r="D941" s="71"/>
      <x:c r="E941" s="41" t="str">
        <x:f>IF(D941="","",D941+273.15)</x:f>
      </x:c>
      <x:c r="F941" s="44" t="str">
        <x:f>IF(OR(C941="",D941="",C940=""),"",(C941-C940)/60)</x:f>
      </x:c>
      <x:c r="G941" s="44" t="str">
        <x:f>IF(D941="","",EXP(-Configuracion!$B$4/Configuracion!$B$5*(1/AVERAGE(E940:E941)-1/(Configuracion!$B$3+273.15))))</x:f>
      </x:c>
      <x:c r="H941" s="44" t="str">
        <x:f>IF(D941="","",F941*G941)</x:f>
      </x:c>
      <x:c r="I941" s="44" t="str">
        <x:f>IF(D941="","",I940+H941)</x:f>
      </x:c>
      <x:c r="J941" s="46" t="str">
        <x:f>IF(D941="","",MIN(1,I941/Configuracion!$B$11))</x:f>
      </x:c>
      <x:c r="K941" s="48" t="str">
        <x:f>IF(D941="","",MAX(0,(Configuracion!$B$11-I941)/G941))</x:f>
      </x:c>
      <x:c r="L941" s="73" t="str">
        <x:f>IF(D941="","",C941+K941*60)</x:f>
      </x:c>
      <x:c r="M941" t="str">
        <x:f>IF(D941="","",IF(J941&gt;=Configuracion!$B$13,"DESLIZAR",IF(J941&gt;=Configuracion!$B$12,"PREPARARSE","NO DESLIZAR")))</x:f>
      </x:c>
      <x:c r="N941" s="41" t="str">
        <x:f>IF(D941="","",D941-$D$8)</x:f>
      </x:c>
      <x:c r="O941" s="46" t="str">
        <x:f>IF(D941="","",MAX(0,MIN(1,N941/Configuracion!$B$10)))</x:f>
      </x:c>
    </x:row>
    <x:row r="942">
      <x:c r="A942" s="34"/>
      <x:c r="B942" s="36"/>
      <x:c r="C942" s="72"/>
      <x:c r="D942" s="71"/>
      <x:c r="E942" s="41" t="str">
        <x:f>IF(D942="","",D942+273.15)</x:f>
      </x:c>
      <x:c r="F942" s="44" t="str">
        <x:f>IF(OR(C942="",D942="",C941=""),"",(C942-C941)/60)</x:f>
      </x:c>
      <x:c r="G942" s="44" t="str">
        <x:f>IF(D942="","",EXP(-Configuracion!$B$4/Configuracion!$B$5*(1/AVERAGE(E941:E942)-1/(Configuracion!$B$3+273.15))))</x:f>
      </x:c>
      <x:c r="H942" s="44" t="str">
        <x:f>IF(D942="","",F942*G942)</x:f>
      </x:c>
      <x:c r="I942" s="44" t="str">
        <x:f>IF(D942="","",I941+H942)</x:f>
      </x:c>
      <x:c r="J942" s="46" t="str">
        <x:f>IF(D942="","",MIN(1,I942/Configuracion!$B$11))</x:f>
      </x:c>
      <x:c r="K942" s="48" t="str">
        <x:f>IF(D942="","",MAX(0,(Configuracion!$B$11-I942)/G942))</x:f>
      </x:c>
      <x:c r="L942" s="73" t="str">
        <x:f>IF(D942="","",C942+K942*60)</x:f>
      </x:c>
      <x:c r="M942" t="str">
        <x:f>IF(D942="","",IF(J942&gt;=Configuracion!$B$13,"DESLIZAR",IF(J942&gt;=Configuracion!$B$12,"PREPARARSE","NO DESLIZAR")))</x:f>
      </x:c>
      <x:c r="N942" s="41" t="str">
        <x:f>IF(D942="","",D942-$D$8)</x:f>
      </x:c>
      <x:c r="O942" s="46" t="str">
        <x:f>IF(D942="","",MAX(0,MIN(1,N942/Configuracion!$B$10)))</x:f>
      </x:c>
    </x:row>
    <x:row r="943">
      <x:c r="A943" s="34"/>
      <x:c r="B943" s="36"/>
      <x:c r="C943" s="72"/>
      <x:c r="D943" s="71"/>
      <x:c r="E943" s="41" t="str">
        <x:f>IF(D943="","",D943+273.15)</x:f>
      </x:c>
      <x:c r="F943" s="44" t="str">
        <x:f>IF(OR(C943="",D943="",C942=""),"",(C943-C942)/60)</x:f>
      </x:c>
      <x:c r="G943" s="44" t="str">
        <x:f>IF(D943="","",EXP(-Configuracion!$B$4/Configuracion!$B$5*(1/AVERAGE(E942:E943)-1/(Configuracion!$B$3+273.15))))</x:f>
      </x:c>
      <x:c r="H943" s="44" t="str">
        <x:f>IF(D943="","",F943*G943)</x:f>
      </x:c>
      <x:c r="I943" s="44" t="str">
        <x:f>IF(D943="","",I942+H943)</x:f>
      </x:c>
      <x:c r="J943" s="46" t="str">
        <x:f>IF(D943="","",MIN(1,I943/Configuracion!$B$11))</x:f>
      </x:c>
      <x:c r="K943" s="48" t="str">
        <x:f>IF(D943="","",MAX(0,(Configuracion!$B$11-I943)/G943))</x:f>
      </x:c>
      <x:c r="L943" s="73" t="str">
        <x:f>IF(D943="","",C943+K943*60)</x:f>
      </x:c>
      <x:c r="M943" t="str">
        <x:f>IF(D943="","",IF(J943&gt;=Configuracion!$B$13,"DESLIZAR",IF(J943&gt;=Configuracion!$B$12,"PREPARARSE","NO DESLIZAR")))</x:f>
      </x:c>
      <x:c r="N943" s="41" t="str">
        <x:f>IF(D943="","",D943-$D$8)</x:f>
      </x:c>
      <x:c r="O943" s="46" t="str">
        <x:f>IF(D943="","",MAX(0,MIN(1,N943/Configuracion!$B$10)))</x:f>
      </x:c>
    </x:row>
    <x:row r="944">
      <x:c r="A944" s="34"/>
      <x:c r="B944" s="36"/>
      <x:c r="C944" s="72"/>
      <x:c r="D944" s="71"/>
      <x:c r="E944" s="41" t="str">
        <x:f>IF(D944="","",D944+273.15)</x:f>
      </x:c>
      <x:c r="F944" s="44" t="str">
        <x:f>IF(OR(C944="",D944="",C943=""),"",(C944-C943)/60)</x:f>
      </x:c>
      <x:c r="G944" s="44" t="str">
        <x:f>IF(D944="","",EXP(-Configuracion!$B$4/Configuracion!$B$5*(1/AVERAGE(E943:E944)-1/(Configuracion!$B$3+273.15))))</x:f>
      </x:c>
      <x:c r="H944" s="44" t="str">
        <x:f>IF(D944="","",F944*G944)</x:f>
      </x:c>
      <x:c r="I944" s="44" t="str">
        <x:f>IF(D944="","",I943+H944)</x:f>
      </x:c>
      <x:c r="J944" s="46" t="str">
        <x:f>IF(D944="","",MIN(1,I944/Configuracion!$B$11))</x:f>
      </x:c>
      <x:c r="K944" s="48" t="str">
        <x:f>IF(D944="","",MAX(0,(Configuracion!$B$11-I944)/G944))</x:f>
      </x:c>
      <x:c r="L944" s="73" t="str">
        <x:f>IF(D944="","",C944+K944*60)</x:f>
      </x:c>
      <x:c r="M944" t="str">
        <x:f>IF(D944="","",IF(J944&gt;=Configuracion!$B$13,"DESLIZAR",IF(J944&gt;=Configuracion!$B$12,"PREPARARSE","NO DESLIZAR")))</x:f>
      </x:c>
      <x:c r="N944" s="41" t="str">
        <x:f>IF(D944="","",D944-$D$8)</x:f>
      </x:c>
      <x:c r="O944" s="46" t="str">
        <x:f>IF(D944="","",MAX(0,MIN(1,N944/Configuracion!$B$10)))</x:f>
      </x:c>
    </x:row>
    <x:row r="945">
      <x:c r="A945" s="34"/>
      <x:c r="B945" s="36"/>
      <x:c r="C945" s="72"/>
      <x:c r="D945" s="71"/>
      <x:c r="E945" s="41" t="str">
        <x:f>IF(D945="","",D945+273.15)</x:f>
      </x:c>
      <x:c r="F945" s="44" t="str">
        <x:f>IF(OR(C945="",D945="",C944=""),"",(C945-C944)/60)</x:f>
      </x:c>
      <x:c r="G945" s="44" t="str">
        <x:f>IF(D945="","",EXP(-Configuracion!$B$4/Configuracion!$B$5*(1/AVERAGE(E944:E945)-1/(Configuracion!$B$3+273.15))))</x:f>
      </x:c>
      <x:c r="H945" s="44" t="str">
        <x:f>IF(D945="","",F945*G945)</x:f>
      </x:c>
      <x:c r="I945" s="44" t="str">
        <x:f>IF(D945="","",I944+H945)</x:f>
      </x:c>
      <x:c r="J945" s="46" t="str">
        <x:f>IF(D945="","",MIN(1,I945/Configuracion!$B$11))</x:f>
      </x:c>
      <x:c r="K945" s="48" t="str">
        <x:f>IF(D945="","",MAX(0,(Configuracion!$B$11-I945)/G945))</x:f>
      </x:c>
      <x:c r="L945" s="73" t="str">
        <x:f>IF(D945="","",C945+K945*60)</x:f>
      </x:c>
      <x:c r="M945" t="str">
        <x:f>IF(D945="","",IF(J945&gt;=Configuracion!$B$13,"DESLIZAR",IF(J945&gt;=Configuracion!$B$12,"PREPARARSE","NO DESLIZAR")))</x:f>
      </x:c>
      <x:c r="N945" s="41" t="str">
        <x:f>IF(D945="","",D945-$D$8)</x:f>
      </x:c>
      <x:c r="O945" s="46" t="str">
        <x:f>IF(D945="","",MAX(0,MIN(1,N945/Configuracion!$B$10)))</x:f>
      </x:c>
    </x:row>
    <x:row r="946">
      <x:c r="A946" s="34"/>
      <x:c r="B946" s="36"/>
      <x:c r="C946" s="72"/>
      <x:c r="D946" s="71"/>
      <x:c r="E946" s="41" t="str">
        <x:f>IF(D946="","",D946+273.15)</x:f>
      </x:c>
      <x:c r="F946" s="44" t="str">
        <x:f>IF(OR(C946="",D946="",C945=""),"",(C946-C945)/60)</x:f>
      </x:c>
      <x:c r="G946" s="44" t="str">
        <x:f>IF(D946="","",EXP(-Configuracion!$B$4/Configuracion!$B$5*(1/AVERAGE(E945:E946)-1/(Configuracion!$B$3+273.15))))</x:f>
      </x:c>
      <x:c r="H946" s="44" t="str">
        <x:f>IF(D946="","",F946*G946)</x:f>
      </x:c>
      <x:c r="I946" s="44" t="str">
        <x:f>IF(D946="","",I945+H946)</x:f>
      </x:c>
      <x:c r="J946" s="46" t="str">
        <x:f>IF(D946="","",MIN(1,I946/Configuracion!$B$11))</x:f>
      </x:c>
      <x:c r="K946" s="48" t="str">
        <x:f>IF(D946="","",MAX(0,(Configuracion!$B$11-I946)/G946))</x:f>
      </x:c>
      <x:c r="L946" s="73" t="str">
        <x:f>IF(D946="","",C946+K946*60)</x:f>
      </x:c>
      <x:c r="M946" t="str">
        <x:f>IF(D946="","",IF(J946&gt;=Configuracion!$B$13,"DESLIZAR",IF(J946&gt;=Configuracion!$B$12,"PREPARARSE","NO DESLIZAR")))</x:f>
      </x:c>
      <x:c r="N946" s="41" t="str">
        <x:f>IF(D946="","",D946-$D$8)</x:f>
      </x:c>
      <x:c r="O946" s="46" t="str">
        <x:f>IF(D946="","",MAX(0,MIN(1,N946/Configuracion!$B$10)))</x:f>
      </x:c>
    </x:row>
    <x:row r="947">
      <x:c r="A947" s="34"/>
      <x:c r="B947" s="36"/>
      <x:c r="C947" s="72"/>
      <x:c r="D947" s="71"/>
      <x:c r="E947" s="41" t="str">
        <x:f>IF(D947="","",D947+273.15)</x:f>
      </x:c>
      <x:c r="F947" s="44" t="str">
        <x:f>IF(OR(C947="",D947="",C946=""),"",(C947-C946)/60)</x:f>
      </x:c>
      <x:c r="G947" s="44" t="str">
        <x:f>IF(D947="","",EXP(-Configuracion!$B$4/Configuracion!$B$5*(1/AVERAGE(E946:E947)-1/(Configuracion!$B$3+273.15))))</x:f>
      </x:c>
      <x:c r="H947" s="44" t="str">
        <x:f>IF(D947="","",F947*G947)</x:f>
      </x:c>
      <x:c r="I947" s="44" t="str">
        <x:f>IF(D947="","",I946+H947)</x:f>
      </x:c>
      <x:c r="J947" s="46" t="str">
        <x:f>IF(D947="","",MIN(1,I947/Configuracion!$B$11))</x:f>
      </x:c>
      <x:c r="K947" s="48" t="str">
        <x:f>IF(D947="","",MAX(0,(Configuracion!$B$11-I947)/G947))</x:f>
      </x:c>
      <x:c r="L947" s="73" t="str">
        <x:f>IF(D947="","",C947+K947*60)</x:f>
      </x:c>
      <x:c r="M947" t="str">
        <x:f>IF(D947="","",IF(J947&gt;=Configuracion!$B$13,"DESLIZAR",IF(J947&gt;=Configuracion!$B$12,"PREPARARSE","NO DESLIZAR")))</x:f>
      </x:c>
      <x:c r="N947" s="41" t="str">
        <x:f>IF(D947="","",D947-$D$8)</x:f>
      </x:c>
      <x:c r="O947" s="46" t="str">
        <x:f>IF(D947="","",MAX(0,MIN(1,N947/Configuracion!$B$10)))</x:f>
      </x:c>
    </x:row>
    <x:row r="948">
      <x:c r="A948" s="34"/>
      <x:c r="B948" s="36"/>
      <x:c r="C948" s="72"/>
      <x:c r="D948" s="71"/>
      <x:c r="E948" s="41" t="str">
        <x:f>IF(D948="","",D948+273.15)</x:f>
      </x:c>
      <x:c r="F948" s="44" t="str">
        <x:f>IF(OR(C948="",D948="",C947=""),"",(C948-C947)/60)</x:f>
      </x:c>
      <x:c r="G948" s="44" t="str">
        <x:f>IF(D948="","",EXP(-Configuracion!$B$4/Configuracion!$B$5*(1/AVERAGE(E947:E948)-1/(Configuracion!$B$3+273.15))))</x:f>
      </x:c>
      <x:c r="H948" s="44" t="str">
        <x:f>IF(D948="","",F948*G948)</x:f>
      </x:c>
      <x:c r="I948" s="44" t="str">
        <x:f>IF(D948="","",I947+H948)</x:f>
      </x:c>
      <x:c r="J948" s="46" t="str">
        <x:f>IF(D948="","",MIN(1,I948/Configuracion!$B$11))</x:f>
      </x:c>
      <x:c r="K948" s="48" t="str">
        <x:f>IF(D948="","",MAX(0,(Configuracion!$B$11-I948)/G948))</x:f>
      </x:c>
      <x:c r="L948" s="73" t="str">
        <x:f>IF(D948="","",C948+K948*60)</x:f>
      </x:c>
      <x:c r="M948" t="str">
        <x:f>IF(D948="","",IF(J948&gt;=Configuracion!$B$13,"DESLIZAR",IF(J948&gt;=Configuracion!$B$12,"PREPARARSE","NO DESLIZAR")))</x:f>
      </x:c>
      <x:c r="N948" s="41" t="str">
        <x:f>IF(D948="","",D948-$D$8)</x:f>
      </x:c>
      <x:c r="O948" s="46" t="str">
        <x:f>IF(D948="","",MAX(0,MIN(1,N948/Configuracion!$B$10)))</x:f>
      </x:c>
    </x:row>
    <x:row r="949">
      <x:c r="A949" s="34"/>
      <x:c r="B949" s="36"/>
      <x:c r="C949" s="72"/>
      <x:c r="D949" s="71"/>
      <x:c r="E949" s="41" t="str">
        <x:f>IF(D949="","",D949+273.15)</x:f>
      </x:c>
      <x:c r="F949" s="44" t="str">
        <x:f>IF(OR(C949="",D949="",C948=""),"",(C949-C948)/60)</x:f>
      </x:c>
      <x:c r="G949" s="44" t="str">
        <x:f>IF(D949="","",EXP(-Configuracion!$B$4/Configuracion!$B$5*(1/AVERAGE(E948:E949)-1/(Configuracion!$B$3+273.15))))</x:f>
      </x:c>
      <x:c r="H949" s="44" t="str">
        <x:f>IF(D949="","",F949*G949)</x:f>
      </x:c>
      <x:c r="I949" s="44" t="str">
        <x:f>IF(D949="","",I948+H949)</x:f>
      </x:c>
      <x:c r="J949" s="46" t="str">
        <x:f>IF(D949="","",MIN(1,I949/Configuracion!$B$11))</x:f>
      </x:c>
      <x:c r="K949" s="48" t="str">
        <x:f>IF(D949="","",MAX(0,(Configuracion!$B$11-I949)/G949))</x:f>
      </x:c>
      <x:c r="L949" s="73" t="str">
        <x:f>IF(D949="","",C949+K949*60)</x:f>
      </x:c>
      <x:c r="M949" t="str">
        <x:f>IF(D949="","",IF(J949&gt;=Configuracion!$B$13,"DESLIZAR",IF(J949&gt;=Configuracion!$B$12,"PREPARARSE","NO DESLIZAR")))</x:f>
      </x:c>
      <x:c r="N949" s="41" t="str">
        <x:f>IF(D949="","",D949-$D$8)</x:f>
      </x:c>
      <x:c r="O949" s="46" t="str">
        <x:f>IF(D949="","",MAX(0,MIN(1,N949/Configuracion!$B$10)))</x:f>
      </x:c>
    </x:row>
    <x:row r="950">
      <x:c r="A950" s="34"/>
      <x:c r="B950" s="36"/>
      <x:c r="C950" s="72"/>
      <x:c r="D950" s="71"/>
      <x:c r="E950" s="41" t="str">
        <x:f>IF(D950="","",D950+273.15)</x:f>
      </x:c>
      <x:c r="F950" s="44" t="str">
        <x:f>IF(OR(C950="",D950="",C949=""),"",(C950-C949)/60)</x:f>
      </x:c>
      <x:c r="G950" s="44" t="str">
        <x:f>IF(D950="","",EXP(-Configuracion!$B$4/Configuracion!$B$5*(1/AVERAGE(E949:E950)-1/(Configuracion!$B$3+273.15))))</x:f>
      </x:c>
      <x:c r="H950" s="44" t="str">
        <x:f>IF(D950="","",F950*G950)</x:f>
      </x:c>
      <x:c r="I950" s="44" t="str">
        <x:f>IF(D950="","",I949+H950)</x:f>
      </x:c>
      <x:c r="J950" s="46" t="str">
        <x:f>IF(D950="","",MIN(1,I950/Configuracion!$B$11))</x:f>
      </x:c>
      <x:c r="K950" s="48" t="str">
        <x:f>IF(D950="","",MAX(0,(Configuracion!$B$11-I950)/G950))</x:f>
      </x:c>
      <x:c r="L950" s="73" t="str">
        <x:f>IF(D950="","",C950+K950*60)</x:f>
      </x:c>
      <x:c r="M950" t="str">
        <x:f>IF(D950="","",IF(J950&gt;=Configuracion!$B$13,"DESLIZAR",IF(J950&gt;=Configuracion!$B$12,"PREPARARSE","NO DESLIZAR")))</x:f>
      </x:c>
      <x:c r="N950" s="41" t="str">
        <x:f>IF(D950="","",D950-$D$8)</x:f>
      </x:c>
      <x:c r="O950" s="46" t="str">
        <x:f>IF(D950="","",MAX(0,MIN(1,N950/Configuracion!$B$10)))</x:f>
      </x:c>
    </x:row>
    <x:row r="951">
      <x:c r="A951" s="34"/>
      <x:c r="B951" s="36"/>
      <x:c r="C951" s="72"/>
      <x:c r="D951" s="71"/>
      <x:c r="E951" s="41" t="str">
        <x:f>IF(D951="","",D951+273.15)</x:f>
      </x:c>
      <x:c r="F951" s="44" t="str">
        <x:f>IF(OR(C951="",D951="",C950=""),"",(C951-C950)/60)</x:f>
      </x:c>
      <x:c r="G951" s="44" t="str">
        <x:f>IF(D951="","",EXP(-Configuracion!$B$4/Configuracion!$B$5*(1/AVERAGE(E950:E951)-1/(Configuracion!$B$3+273.15))))</x:f>
      </x:c>
      <x:c r="H951" s="44" t="str">
        <x:f>IF(D951="","",F951*G951)</x:f>
      </x:c>
      <x:c r="I951" s="44" t="str">
        <x:f>IF(D951="","",I950+H951)</x:f>
      </x:c>
      <x:c r="J951" s="46" t="str">
        <x:f>IF(D951="","",MIN(1,I951/Configuracion!$B$11))</x:f>
      </x:c>
      <x:c r="K951" s="48" t="str">
        <x:f>IF(D951="","",MAX(0,(Configuracion!$B$11-I951)/G951))</x:f>
      </x:c>
      <x:c r="L951" s="73" t="str">
        <x:f>IF(D951="","",C951+K951*60)</x:f>
      </x:c>
      <x:c r="M951" t="str">
        <x:f>IF(D951="","",IF(J951&gt;=Configuracion!$B$13,"DESLIZAR",IF(J951&gt;=Configuracion!$B$12,"PREPARARSE","NO DESLIZAR")))</x:f>
      </x:c>
      <x:c r="N951" s="41" t="str">
        <x:f>IF(D951="","",D951-$D$8)</x:f>
      </x:c>
      <x:c r="O951" s="46" t="str">
        <x:f>IF(D951="","",MAX(0,MIN(1,N951/Configuracion!$B$10)))</x:f>
      </x:c>
    </x:row>
    <x:row r="952">
      <x:c r="A952" s="34"/>
      <x:c r="B952" s="36"/>
      <x:c r="C952" s="72"/>
      <x:c r="D952" s="71"/>
      <x:c r="E952" s="41" t="str">
        <x:f>IF(D952="","",D952+273.15)</x:f>
      </x:c>
      <x:c r="F952" s="44" t="str">
        <x:f>IF(OR(C952="",D952="",C951=""),"",(C952-C951)/60)</x:f>
      </x:c>
      <x:c r="G952" s="44" t="str">
        <x:f>IF(D952="","",EXP(-Configuracion!$B$4/Configuracion!$B$5*(1/AVERAGE(E951:E952)-1/(Configuracion!$B$3+273.15))))</x:f>
      </x:c>
      <x:c r="H952" s="44" t="str">
        <x:f>IF(D952="","",F952*G952)</x:f>
      </x:c>
      <x:c r="I952" s="44" t="str">
        <x:f>IF(D952="","",I951+H952)</x:f>
      </x:c>
      <x:c r="J952" s="46" t="str">
        <x:f>IF(D952="","",MIN(1,I952/Configuracion!$B$11))</x:f>
      </x:c>
      <x:c r="K952" s="48" t="str">
        <x:f>IF(D952="","",MAX(0,(Configuracion!$B$11-I952)/G952))</x:f>
      </x:c>
      <x:c r="L952" s="73" t="str">
        <x:f>IF(D952="","",C952+K952*60)</x:f>
      </x:c>
      <x:c r="M952" t="str">
        <x:f>IF(D952="","",IF(J952&gt;=Configuracion!$B$13,"DESLIZAR",IF(J952&gt;=Configuracion!$B$12,"PREPARARSE","NO DESLIZAR")))</x:f>
      </x:c>
      <x:c r="N952" s="41" t="str">
        <x:f>IF(D952="","",D952-$D$8)</x:f>
      </x:c>
      <x:c r="O952" s="46" t="str">
        <x:f>IF(D952="","",MAX(0,MIN(1,N952/Configuracion!$B$10)))</x:f>
      </x:c>
    </x:row>
    <x:row r="953">
      <x:c r="A953" s="34"/>
      <x:c r="B953" s="36"/>
      <x:c r="C953" s="72"/>
      <x:c r="D953" s="71"/>
      <x:c r="E953" s="41" t="str">
        <x:f>IF(D953="","",D953+273.15)</x:f>
      </x:c>
      <x:c r="F953" s="44" t="str">
        <x:f>IF(OR(C953="",D953="",C952=""),"",(C953-C952)/60)</x:f>
      </x:c>
      <x:c r="G953" s="44" t="str">
        <x:f>IF(D953="","",EXP(-Configuracion!$B$4/Configuracion!$B$5*(1/AVERAGE(E952:E953)-1/(Configuracion!$B$3+273.15))))</x:f>
      </x:c>
      <x:c r="H953" s="44" t="str">
        <x:f>IF(D953="","",F953*G953)</x:f>
      </x:c>
      <x:c r="I953" s="44" t="str">
        <x:f>IF(D953="","",I952+H953)</x:f>
      </x:c>
      <x:c r="J953" s="46" t="str">
        <x:f>IF(D953="","",MIN(1,I953/Configuracion!$B$11))</x:f>
      </x:c>
      <x:c r="K953" s="48" t="str">
        <x:f>IF(D953="","",MAX(0,(Configuracion!$B$11-I953)/G953))</x:f>
      </x:c>
      <x:c r="L953" s="73" t="str">
        <x:f>IF(D953="","",C953+K953*60)</x:f>
      </x:c>
      <x:c r="M953" t="str">
        <x:f>IF(D953="","",IF(J953&gt;=Configuracion!$B$13,"DESLIZAR",IF(J953&gt;=Configuracion!$B$12,"PREPARARSE","NO DESLIZAR")))</x:f>
      </x:c>
      <x:c r="N953" s="41" t="str">
        <x:f>IF(D953="","",D953-$D$8)</x:f>
      </x:c>
      <x:c r="O953" s="46" t="str">
        <x:f>IF(D953="","",MAX(0,MIN(1,N953/Configuracion!$B$10)))</x:f>
      </x:c>
    </x:row>
    <x:row r="954">
      <x:c r="A954" s="34"/>
      <x:c r="B954" s="36"/>
      <x:c r="C954" s="72"/>
      <x:c r="D954" s="71"/>
      <x:c r="E954" s="41" t="str">
        <x:f>IF(D954="","",D954+273.15)</x:f>
      </x:c>
      <x:c r="F954" s="44" t="str">
        <x:f>IF(OR(C954="",D954="",C953=""),"",(C954-C953)/60)</x:f>
      </x:c>
      <x:c r="G954" s="44" t="str">
        <x:f>IF(D954="","",EXP(-Configuracion!$B$4/Configuracion!$B$5*(1/AVERAGE(E953:E954)-1/(Configuracion!$B$3+273.15))))</x:f>
      </x:c>
      <x:c r="H954" s="44" t="str">
        <x:f>IF(D954="","",F954*G954)</x:f>
      </x:c>
      <x:c r="I954" s="44" t="str">
        <x:f>IF(D954="","",I953+H954)</x:f>
      </x:c>
      <x:c r="J954" s="46" t="str">
        <x:f>IF(D954="","",MIN(1,I954/Configuracion!$B$11))</x:f>
      </x:c>
      <x:c r="K954" s="48" t="str">
        <x:f>IF(D954="","",MAX(0,(Configuracion!$B$11-I954)/G954))</x:f>
      </x:c>
      <x:c r="L954" s="73" t="str">
        <x:f>IF(D954="","",C954+K954*60)</x:f>
      </x:c>
      <x:c r="M954" t="str">
        <x:f>IF(D954="","",IF(J954&gt;=Configuracion!$B$13,"DESLIZAR",IF(J954&gt;=Configuracion!$B$12,"PREPARARSE","NO DESLIZAR")))</x:f>
      </x:c>
      <x:c r="N954" s="41" t="str">
        <x:f>IF(D954="","",D954-$D$8)</x:f>
      </x:c>
      <x:c r="O954" s="46" t="str">
        <x:f>IF(D954="","",MAX(0,MIN(1,N954/Configuracion!$B$10)))</x:f>
      </x:c>
    </x:row>
    <x:row r="955">
      <x:c r="A955" s="34"/>
      <x:c r="B955" s="36"/>
      <x:c r="C955" s="72"/>
      <x:c r="D955" s="71"/>
      <x:c r="E955" s="41" t="str">
        <x:f>IF(D955="","",D955+273.15)</x:f>
      </x:c>
      <x:c r="F955" s="44" t="str">
        <x:f>IF(OR(C955="",D955="",C954=""),"",(C955-C954)/60)</x:f>
      </x:c>
      <x:c r="G955" s="44" t="str">
        <x:f>IF(D955="","",EXP(-Configuracion!$B$4/Configuracion!$B$5*(1/AVERAGE(E954:E955)-1/(Configuracion!$B$3+273.15))))</x:f>
      </x:c>
      <x:c r="H955" s="44" t="str">
        <x:f>IF(D955="","",F955*G955)</x:f>
      </x:c>
      <x:c r="I955" s="44" t="str">
        <x:f>IF(D955="","",I954+H955)</x:f>
      </x:c>
      <x:c r="J955" s="46" t="str">
        <x:f>IF(D955="","",MIN(1,I955/Configuracion!$B$11))</x:f>
      </x:c>
      <x:c r="K955" s="48" t="str">
        <x:f>IF(D955="","",MAX(0,(Configuracion!$B$11-I955)/G955))</x:f>
      </x:c>
      <x:c r="L955" s="73" t="str">
        <x:f>IF(D955="","",C955+K955*60)</x:f>
      </x:c>
      <x:c r="M955" t="str">
        <x:f>IF(D955="","",IF(J955&gt;=Configuracion!$B$13,"DESLIZAR",IF(J955&gt;=Configuracion!$B$12,"PREPARARSE","NO DESLIZAR")))</x:f>
      </x:c>
      <x:c r="N955" s="41" t="str">
        <x:f>IF(D955="","",D955-$D$8)</x:f>
      </x:c>
      <x:c r="O955" s="46" t="str">
        <x:f>IF(D955="","",MAX(0,MIN(1,N955/Configuracion!$B$10)))</x:f>
      </x:c>
    </x:row>
    <x:row r="956">
      <x:c r="A956" s="34"/>
      <x:c r="B956" s="36"/>
      <x:c r="C956" s="72"/>
      <x:c r="D956" s="71"/>
      <x:c r="E956" s="41" t="str">
        <x:f>IF(D956="","",D956+273.15)</x:f>
      </x:c>
      <x:c r="F956" s="44" t="str">
        <x:f>IF(OR(C956="",D956="",C955=""),"",(C956-C955)/60)</x:f>
      </x:c>
      <x:c r="G956" s="44" t="str">
        <x:f>IF(D956="","",EXP(-Configuracion!$B$4/Configuracion!$B$5*(1/AVERAGE(E955:E956)-1/(Configuracion!$B$3+273.15))))</x:f>
      </x:c>
      <x:c r="H956" s="44" t="str">
        <x:f>IF(D956="","",F956*G956)</x:f>
      </x:c>
      <x:c r="I956" s="44" t="str">
        <x:f>IF(D956="","",I955+H956)</x:f>
      </x:c>
      <x:c r="J956" s="46" t="str">
        <x:f>IF(D956="","",MIN(1,I956/Configuracion!$B$11))</x:f>
      </x:c>
      <x:c r="K956" s="48" t="str">
        <x:f>IF(D956="","",MAX(0,(Configuracion!$B$11-I956)/G956))</x:f>
      </x:c>
      <x:c r="L956" s="73" t="str">
        <x:f>IF(D956="","",C956+K956*60)</x:f>
      </x:c>
      <x:c r="M956" t="str">
        <x:f>IF(D956="","",IF(J956&gt;=Configuracion!$B$13,"DESLIZAR",IF(J956&gt;=Configuracion!$B$12,"PREPARARSE","NO DESLIZAR")))</x:f>
      </x:c>
      <x:c r="N956" s="41" t="str">
        <x:f>IF(D956="","",D956-$D$8)</x:f>
      </x:c>
      <x:c r="O956" s="46" t="str">
        <x:f>IF(D956="","",MAX(0,MIN(1,N956/Configuracion!$B$10)))</x:f>
      </x:c>
    </x:row>
    <x:row r="957">
      <x:c r="A957" s="34"/>
      <x:c r="B957" s="36"/>
      <x:c r="C957" s="72"/>
      <x:c r="D957" s="71"/>
      <x:c r="E957" s="41" t="str">
        <x:f>IF(D957="","",D957+273.15)</x:f>
      </x:c>
      <x:c r="F957" s="44" t="str">
        <x:f>IF(OR(C957="",D957="",C956=""),"",(C957-C956)/60)</x:f>
      </x:c>
      <x:c r="G957" s="44" t="str">
        <x:f>IF(D957="","",EXP(-Configuracion!$B$4/Configuracion!$B$5*(1/AVERAGE(E956:E957)-1/(Configuracion!$B$3+273.15))))</x:f>
      </x:c>
      <x:c r="H957" s="44" t="str">
        <x:f>IF(D957="","",F957*G957)</x:f>
      </x:c>
      <x:c r="I957" s="44" t="str">
        <x:f>IF(D957="","",I956+H957)</x:f>
      </x:c>
      <x:c r="J957" s="46" t="str">
        <x:f>IF(D957="","",MIN(1,I957/Configuracion!$B$11))</x:f>
      </x:c>
      <x:c r="K957" s="48" t="str">
        <x:f>IF(D957="","",MAX(0,(Configuracion!$B$11-I957)/G957))</x:f>
      </x:c>
      <x:c r="L957" s="73" t="str">
        <x:f>IF(D957="","",C957+K957*60)</x:f>
      </x:c>
      <x:c r="M957" t="str">
        <x:f>IF(D957="","",IF(J957&gt;=Configuracion!$B$13,"DESLIZAR",IF(J957&gt;=Configuracion!$B$12,"PREPARARSE","NO DESLIZAR")))</x:f>
      </x:c>
      <x:c r="N957" s="41" t="str">
        <x:f>IF(D957="","",D957-$D$8)</x:f>
      </x:c>
      <x:c r="O957" s="46" t="str">
        <x:f>IF(D957="","",MAX(0,MIN(1,N957/Configuracion!$B$10)))</x:f>
      </x:c>
    </x:row>
    <x:row r="958">
      <x:c r="A958" s="34"/>
      <x:c r="B958" s="36"/>
      <x:c r="C958" s="72"/>
      <x:c r="D958" s="71"/>
      <x:c r="E958" s="41" t="str">
        <x:f>IF(D958="","",D958+273.15)</x:f>
      </x:c>
      <x:c r="F958" s="44" t="str">
        <x:f>IF(OR(C958="",D958="",C957=""),"",(C958-C957)/60)</x:f>
      </x:c>
      <x:c r="G958" s="44" t="str">
        <x:f>IF(D958="","",EXP(-Configuracion!$B$4/Configuracion!$B$5*(1/AVERAGE(E957:E958)-1/(Configuracion!$B$3+273.15))))</x:f>
      </x:c>
      <x:c r="H958" s="44" t="str">
        <x:f>IF(D958="","",F958*G958)</x:f>
      </x:c>
      <x:c r="I958" s="44" t="str">
        <x:f>IF(D958="","",I957+H958)</x:f>
      </x:c>
      <x:c r="J958" s="46" t="str">
        <x:f>IF(D958="","",MIN(1,I958/Configuracion!$B$11))</x:f>
      </x:c>
      <x:c r="K958" s="48" t="str">
        <x:f>IF(D958="","",MAX(0,(Configuracion!$B$11-I958)/G958))</x:f>
      </x:c>
      <x:c r="L958" s="73" t="str">
        <x:f>IF(D958="","",C958+K958*60)</x:f>
      </x:c>
      <x:c r="M958" t="str">
        <x:f>IF(D958="","",IF(J958&gt;=Configuracion!$B$13,"DESLIZAR",IF(J958&gt;=Configuracion!$B$12,"PREPARARSE","NO DESLIZAR")))</x:f>
      </x:c>
      <x:c r="N958" s="41" t="str">
        <x:f>IF(D958="","",D958-$D$8)</x:f>
      </x:c>
      <x:c r="O958" s="46" t="str">
        <x:f>IF(D958="","",MAX(0,MIN(1,N958/Configuracion!$B$10)))</x:f>
      </x:c>
    </x:row>
    <x:row r="959">
      <x:c r="A959" s="34"/>
      <x:c r="B959" s="36"/>
      <x:c r="C959" s="72"/>
      <x:c r="D959" s="71"/>
      <x:c r="E959" s="41" t="str">
        <x:f>IF(D959="","",D959+273.15)</x:f>
      </x:c>
      <x:c r="F959" s="44" t="str">
        <x:f>IF(OR(C959="",D959="",C958=""),"",(C959-C958)/60)</x:f>
      </x:c>
      <x:c r="G959" s="44" t="str">
        <x:f>IF(D959="","",EXP(-Configuracion!$B$4/Configuracion!$B$5*(1/AVERAGE(E958:E959)-1/(Configuracion!$B$3+273.15))))</x:f>
      </x:c>
      <x:c r="H959" s="44" t="str">
        <x:f>IF(D959="","",F959*G959)</x:f>
      </x:c>
      <x:c r="I959" s="44" t="str">
        <x:f>IF(D959="","",I958+H959)</x:f>
      </x:c>
      <x:c r="J959" s="46" t="str">
        <x:f>IF(D959="","",MIN(1,I959/Configuracion!$B$11))</x:f>
      </x:c>
      <x:c r="K959" s="48" t="str">
        <x:f>IF(D959="","",MAX(0,(Configuracion!$B$11-I959)/G959))</x:f>
      </x:c>
      <x:c r="L959" s="73" t="str">
        <x:f>IF(D959="","",C959+K959*60)</x:f>
      </x:c>
      <x:c r="M959" t="str">
        <x:f>IF(D959="","",IF(J959&gt;=Configuracion!$B$13,"DESLIZAR",IF(J959&gt;=Configuracion!$B$12,"PREPARARSE","NO DESLIZAR")))</x:f>
      </x:c>
      <x:c r="N959" s="41" t="str">
        <x:f>IF(D959="","",D959-$D$8)</x:f>
      </x:c>
      <x:c r="O959" s="46" t="str">
        <x:f>IF(D959="","",MAX(0,MIN(1,N959/Configuracion!$B$10)))</x:f>
      </x:c>
    </x:row>
    <x:row r="960">
      <x:c r="A960" s="34"/>
      <x:c r="B960" s="36"/>
      <x:c r="C960" s="72"/>
      <x:c r="D960" s="71"/>
      <x:c r="E960" s="41" t="str">
        <x:f>IF(D960="","",D960+273.15)</x:f>
      </x:c>
      <x:c r="F960" s="44" t="str">
        <x:f>IF(OR(C960="",D960="",C959=""),"",(C960-C959)/60)</x:f>
      </x:c>
      <x:c r="G960" s="44" t="str">
        <x:f>IF(D960="","",EXP(-Configuracion!$B$4/Configuracion!$B$5*(1/AVERAGE(E959:E960)-1/(Configuracion!$B$3+273.15))))</x:f>
      </x:c>
      <x:c r="H960" s="44" t="str">
        <x:f>IF(D960="","",F960*G960)</x:f>
      </x:c>
      <x:c r="I960" s="44" t="str">
        <x:f>IF(D960="","",I959+H960)</x:f>
      </x:c>
      <x:c r="J960" s="46" t="str">
        <x:f>IF(D960="","",MIN(1,I960/Configuracion!$B$11))</x:f>
      </x:c>
      <x:c r="K960" s="48" t="str">
        <x:f>IF(D960="","",MAX(0,(Configuracion!$B$11-I960)/G960))</x:f>
      </x:c>
      <x:c r="L960" s="73" t="str">
        <x:f>IF(D960="","",C960+K960*60)</x:f>
      </x:c>
      <x:c r="M960" t="str">
        <x:f>IF(D960="","",IF(J960&gt;=Configuracion!$B$13,"DESLIZAR",IF(J960&gt;=Configuracion!$B$12,"PREPARARSE","NO DESLIZAR")))</x:f>
      </x:c>
      <x:c r="N960" s="41" t="str">
        <x:f>IF(D960="","",D960-$D$8)</x:f>
      </x:c>
      <x:c r="O960" s="46" t="str">
        <x:f>IF(D960="","",MAX(0,MIN(1,N960/Configuracion!$B$10)))</x:f>
      </x:c>
    </x:row>
    <x:row r="961">
      <x:c r="A961" s="34"/>
      <x:c r="B961" s="36"/>
      <x:c r="C961" s="72"/>
      <x:c r="D961" s="71"/>
      <x:c r="E961" s="41" t="str">
        <x:f>IF(D961="","",D961+273.15)</x:f>
      </x:c>
      <x:c r="F961" s="44" t="str">
        <x:f>IF(OR(C961="",D961="",C960=""),"",(C961-C960)/60)</x:f>
      </x:c>
      <x:c r="G961" s="44" t="str">
        <x:f>IF(D961="","",EXP(-Configuracion!$B$4/Configuracion!$B$5*(1/AVERAGE(E960:E961)-1/(Configuracion!$B$3+273.15))))</x:f>
      </x:c>
      <x:c r="H961" s="44" t="str">
        <x:f>IF(D961="","",F961*G961)</x:f>
      </x:c>
      <x:c r="I961" s="44" t="str">
        <x:f>IF(D961="","",I960+H961)</x:f>
      </x:c>
      <x:c r="J961" s="46" t="str">
        <x:f>IF(D961="","",MIN(1,I961/Configuracion!$B$11))</x:f>
      </x:c>
      <x:c r="K961" s="48" t="str">
        <x:f>IF(D961="","",MAX(0,(Configuracion!$B$11-I961)/G961))</x:f>
      </x:c>
      <x:c r="L961" s="73" t="str">
        <x:f>IF(D961="","",C961+K961*60)</x:f>
      </x:c>
      <x:c r="M961" t="str">
        <x:f>IF(D961="","",IF(J961&gt;=Configuracion!$B$13,"DESLIZAR",IF(J961&gt;=Configuracion!$B$12,"PREPARARSE","NO DESLIZAR")))</x:f>
      </x:c>
      <x:c r="N961" s="41" t="str">
        <x:f>IF(D961="","",D961-$D$8)</x:f>
      </x:c>
      <x:c r="O961" s="46" t="str">
        <x:f>IF(D961="","",MAX(0,MIN(1,N961/Configuracion!$B$10)))</x:f>
      </x:c>
    </x:row>
    <x:row r="962">
      <x:c r="A962" s="34"/>
      <x:c r="B962" s="36"/>
      <x:c r="C962" s="72"/>
      <x:c r="D962" s="71"/>
      <x:c r="E962" s="41" t="str">
        <x:f>IF(D962="","",D962+273.15)</x:f>
      </x:c>
      <x:c r="F962" s="44" t="str">
        <x:f>IF(OR(C962="",D962="",C961=""),"",(C962-C961)/60)</x:f>
      </x:c>
      <x:c r="G962" s="44" t="str">
        <x:f>IF(D962="","",EXP(-Configuracion!$B$4/Configuracion!$B$5*(1/AVERAGE(E961:E962)-1/(Configuracion!$B$3+273.15))))</x:f>
      </x:c>
      <x:c r="H962" s="44" t="str">
        <x:f>IF(D962="","",F962*G962)</x:f>
      </x:c>
      <x:c r="I962" s="44" t="str">
        <x:f>IF(D962="","",I961+H962)</x:f>
      </x:c>
      <x:c r="J962" s="46" t="str">
        <x:f>IF(D962="","",MIN(1,I962/Configuracion!$B$11))</x:f>
      </x:c>
      <x:c r="K962" s="48" t="str">
        <x:f>IF(D962="","",MAX(0,(Configuracion!$B$11-I962)/G962))</x:f>
      </x:c>
      <x:c r="L962" s="73" t="str">
        <x:f>IF(D962="","",C962+K962*60)</x:f>
      </x:c>
      <x:c r="M962" t="str">
        <x:f>IF(D962="","",IF(J962&gt;=Configuracion!$B$13,"DESLIZAR",IF(J962&gt;=Configuracion!$B$12,"PREPARARSE","NO DESLIZAR")))</x:f>
      </x:c>
      <x:c r="N962" s="41" t="str">
        <x:f>IF(D962="","",D962-$D$8)</x:f>
      </x:c>
      <x:c r="O962" s="46" t="str">
        <x:f>IF(D962="","",MAX(0,MIN(1,N962/Configuracion!$B$10)))</x:f>
      </x:c>
    </x:row>
    <x:row r="963">
      <x:c r="A963" s="34"/>
      <x:c r="B963" s="36"/>
      <x:c r="C963" s="72"/>
      <x:c r="D963" s="71"/>
      <x:c r="E963" s="41" t="str">
        <x:f>IF(D963="","",D963+273.15)</x:f>
      </x:c>
      <x:c r="F963" s="44" t="str">
        <x:f>IF(OR(C963="",D963="",C962=""),"",(C963-C962)/60)</x:f>
      </x:c>
      <x:c r="G963" s="44" t="str">
        <x:f>IF(D963="","",EXP(-Configuracion!$B$4/Configuracion!$B$5*(1/AVERAGE(E962:E963)-1/(Configuracion!$B$3+273.15))))</x:f>
      </x:c>
      <x:c r="H963" s="44" t="str">
        <x:f>IF(D963="","",F963*G963)</x:f>
      </x:c>
      <x:c r="I963" s="44" t="str">
        <x:f>IF(D963="","",I962+H963)</x:f>
      </x:c>
      <x:c r="J963" s="46" t="str">
        <x:f>IF(D963="","",MIN(1,I963/Configuracion!$B$11))</x:f>
      </x:c>
      <x:c r="K963" s="48" t="str">
        <x:f>IF(D963="","",MAX(0,(Configuracion!$B$11-I963)/G963))</x:f>
      </x:c>
      <x:c r="L963" s="73" t="str">
        <x:f>IF(D963="","",C963+K963*60)</x:f>
      </x:c>
      <x:c r="M963" t="str">
        <x:f>IF(D963="","",IF(J963&gt;=Configuracion!$B$13,"DESLIZAR",IF(J963&gt;=Configuracion!$B$12,"PREPARARSE","NO DESLIZAR")))</x:f>
      </x:c>
      <x:c r="N963" s="41" t="str">
        <x:f>IF(D963="","",D963-$D$8)</x:f>
      </x:c>
      <x:c r="O963" s="46" t="str">
        <x:f>IF(D963="","",MAX(0,MIN(1,N963/Configuracion!$B$10)))</x:f>
      </x:c>
    </x:row>
    <x:row r="964">
      <x:c r="A964" s="34"/>
      <x:c r="B964" s="36"/>
      <x:c r="C964" s="72"/>
      <x:c r="D964" s="71"/>
      <x:c r="E964" s="41" t="str">
        <x:f>IF(D964="","",D964+273.15)</x:f>
      </x:c>
      <x:c r="F964" s="44" t="str">
        <x:f>IF(OR(C964="",D964="",C963=""),"",(C964-C963)/60)</x:f>
      </x:c>
      <x:c r="G964" s="44" t="str">
        <x:f>IF(D964="","",EXP(-Configuracion!$B$4/Configuracion!$B$5*(1/AVERAGE(E963:E964)-1/(Configuracion!$B$3+273.15))))</x:f>
      </x:c>
      <x:c r="H964" s="44" t="str">
        <x:f>IF(D964="","",F964*G964)</x:f>
      </x:c>
      <x:c r="I964" s="44" t="str">
        <x:f>IF(D964="","",I963+H964)</x:f>
      </x:c>
      <x:c r="J964" s="46" t="str">
        <x:f>IF(D964="","",MIN(1,I964/Configuracion!$B$11))</x:f>
      </x:c>
      <x:c r="K964" s="48" t="str">
        <x:f>IF(D964="","",MAX(0,(Configuracion!$B$11-I964)/G964))</x:f>
      </x:c>
      <x:c r="L964" s="73" t="str">
        <x:f>IF(D964="","",C964+K964*60)</x:f>
      </x:c>
      <x:c r="M964" t="str">
        <x:f>IF(D964="","",IF(J964&gt;=Configuracion!$B$13,"DESLIZAR",IF(J964&gt;=Configuracion!$B$12,"PREPARARSE","NO DESLIZAR")))</x:f>
      </x:c>
      <x:c r="N964" s="41" t="str">
        <x:f>IF(D964="","",D964-$D$8)</x:f>
      </x:c>
      <x:c r="O964" s="46" t="str">
        <x:f>IF(D964="","",MAX(0,MIN(1,N964/Configuracion!$B$10)))</x:f>
      </x:c>
    </x:row>
    <x:row r="965">
      <x:c r="A965" s="34"/>
      <x:c r="B965" s="36"/>
      <x:c r="C965" s="72"/>
      <x:c r="D965" s="71"/>
      <x:c r="E965" s="41" t="str">
        <x:f>IF(D965="","",D965+273.15)</x:f>
      </x:c>
      <x:c r="F965" s="44" t="str">
        <x:f>IF(OR(C965="",D965="",C964=""),"",(C965-C964)/60)</x:f>
      </x:c>
      <x:c r="G965" s="44" t="str">
        <x:f>IF(D965="","",EXP(-Configuracion!$B$4/Configuracion!$B$5*(1/AVERAGE(E964:E965)-1/(Configuracion!$B$3+273.15))))</x:f>
      </x:c>
      <x:c r="H965" s="44" t="str">
        <x:f>IF(D965="","",F965*G965)</x:f>
      </x:c>
      <x:c r="I965" s="44" t="str">
        <x:f>IF(D965="","",I964+H965)</x:f>
      </x:c>
      <x:c r="J965" s="46" t="str">
        <x:f>IF(D965="","",MIN(1,I965/Configuracion!$B$11))</x:f>
      </x:c>
      <x:c r="K965" s="48" t="str">
        <x:f>IF(D965="","",MAX(0,(Configuracion!$B$11-I965)/G965))</x:f>
      </x:c>
      <x:c r="L965" s="73" t="str">
        <x:f>IF(D965="","",C965+K965*60)</x:f>
      </x:c>
      <x:c r="M965" t="str">
        <x:f>IF(D965="","",IF(J965&gt;=Configuracion!$B$13,"DESLIZAR",IF(J965&gt;=Configuracion!$B$12,"PREPARARSE","NO DESLIZAR")))</x:f>
      </x:c>
      <x:c r="N965" s="41" t="str">
        <x:f>IF(D965="","",D965-$D$8)</x:f>
      </x:c>
      <x:c r="O965" s="46" t="str">
        <x:f>IF(D965="","",MAX(0,MIN(1,N965/Configuracion!$B$10)))</x:f>
      </x:c>
    </x:row>
    <x:row r="966">
      <x:c r="A966" s="34"/>
      <x:c r="B966" s="36"/>
      <x:c r="C966" s="72"/>
      <x:c r="D966" s="71"/>
      <x:c r="E966" s="41" t="str">
        <x:f>IF(D966="","",D966+273.15)</x:f>
      </x:c>
      <x:c r="F966" s="44" t="str">
        <x:f>IF(OR(C966="",D966="",C965=""),"",(C966-C965)/60)</x:f>
      </x:c>
      <x:c r="G966" s="44" t="str">
        <x:f>IF(D966="","",EXP(-Configuracion!$B$4/Configuracion!$B$5*(1/AVERAGE(E965:E966)-1/(Configuracion!$B$3+273.15))))</x:f>
      </x:c>
      <x:c r="H966" s="44" t="str">
        <x:f>IF(D966="","",F966*G966)</x:f>
      </x:c>
      <x:c r="I966" s="44" t="str">
        <x:f>IF(D966="","",I965+H966)</x:f>
      </x:c>
      <x:c r="J966" s="46" t="str">
        <x:f>IF(D966="","",MIN(1,I966/Configuracion!$B$11))</x:f>
      </x:c>
      <x:c r="K966" s="48" t="str">
        <x:f>IF(D966="","",MAX(0,(Configuracion!$B$11-I966)/G966))</x:f>
      </x:c>
      <x:c r="L966" s="73" t="str">
        <x:f>IF(D966="","",C966+K966*60)</x:f>
      </x:c>
      <x:c r="M966" t="str">
        <x:f>IF(D966="","",IF(J966&gt;=Configuracion!$B$13,"DESLIZAR",IF(J966&gt;=Configuracion!$B$12,"PREPARARSE","NO DESLIZAR")))</x:f>
      </x:c>
      <x:c r="N966" s="41" t="str">
        <x:f>IF(D966="","",D966-$D$8)</x:f>
      </x:c>
      <x:c r="O966" s="46" t="str">
        <x:f>IF(D966="","",MAX(0,MIN(1,N966/Configuracion!$B$10)))</x:f>
      </x:c>
    </x:row>
    <x:row r="967">
      <x:c r="A967" s="34"/>
      <x:c r="B967" s="36"/>
      <x:c r="C967" s="72"/>
      <x:c r="D967" s="71"/>
      <x:c r="E967" s="41" t="str">
        <x:f>IF(D967="","",D967+273.15)</x:f>
      </x:c>
      <x:c r="F967" s="44" t="str">
        <x:f>IF(OR(C967="",D967="",C966=""),"",(C967-C966)/60)</x:f>
      </x:c>
      <x:c r="G967" s="44" t="str">
        <x:f>IF(D967="","",EXP(-Configuracion!$B$4/Configuracion!$B$5*(1/AVERAGE(E966:E967)-1/(Configuracion!$B$3+273.15))))</x:f>
      </x:c>
      <x:c r="H967" s="44" t="str">
        <x:f>IF(D967="","",F967*G967)</x:f>
      </x:c>
      <x:c r="I967" s="44" t="str">
        <x:f>IF(D967="","",I966+H967)</x:f>
      </x:c>
      <x:c r="J967" s="46" t="str">
        <x:f>IF(D967="","",MIN(1,I967/Configuracion!$B$11))</x:f>
      </x:c>
      <x:c r="K967" s="48" t="str">
        <x:f>IF(D967="","",MAX(0,(Configuracion!$B$11-I967)/G967))</x:f>
      </x:c>
      <x:c r="L967" s="73" t="str">
        <x:f>IF(D967="","",C967+K967*60)</x:f>
      </x:c>
      <x:c r="M967" t="str">
        <x:f>IF(D967="","",IF(J967&gt;=Configuracion!$B$13,"DESLIZAR",IF(J967&gt;=Configuracion!$B$12,"PREPARARSE","NO DESLIZAR")))</x:f>
      </x:c>
      <x:c r="N967" s="41" t="str">
        <x:f>IF(D967="","",D967-$D$8)</x:f>
      </x:c>
      <x:c r="O967" s="46" t="str">
        <x:f>IF(D967="","",MAX(0,MIN(1,N967/Configuracion!$B$10)))</x:f>
      </x:c>
    </x:row>
    <x:row r="968">
      <x:c r="A968" s="34"/>
      <x:c r="B968" s="36"/>
      <x:c r="C968" s="72"/>
      <x:c r="D968" s="71"/>
      <x:c r="E968" s="41" t="str">
        <x:f>IF(D968="","",D968+273.15)</x:f>
      </x:c>
      <x:c r="F968" s="44" t="str">
        <x:f>IF(OR(C968="",D968="",C967=""),"",(C968-C967)/60)</x:f>
      </x:c>
      <x:c r="G968" s="44" t="str">
        <x:f>IF(D968="","",EXP(-Configuracion!$B$4/Configuracion!$B$5*(1/AVERAGE(E967:E968)-1/(Configuracion!$B$3+273.15))))</x:f>
      </x:c>
      <x:c r="H968" s="44" t="str">
        <x:f>IF(D968="","",F968*G968)</x:f>
      </x:c>
      <x:c r="I968" s="44" t="str">
        <x:f>IF(D968="","",I967+H968)</x:f>
      </x:c>
      <x:c r="J968" s="46" t="str">
        <x:f>IF(D968="","",MIN(1,I968/Configuracion!$B$11))</x:f>
      </x:c>
      <x:c r="K968" s="48" t="str">
        <x:f>IF(D968="","",MAX(0,(Configuracion!$B$11-I968)/G968))</x:f>
      </x:c>
      <x:c r="L968" s="73" t="str">
        <x:f>IF(D968="","",C968+K968*60)</x:f>
      </x:c>
      <x:c r="M968" t="str">
        <x:f>IF(D968="","",IF(J968&gt;=Configuracion!$B$13,"DESLIZAR",IF(J968&gt;=Configuracion!$B$12,"PREPARARSE","NO DESLIZAR")))</x:f>
      </x:c>
      <x:c r="N968" s="41" t="str">
        <x:f>IF(D968="","",D968-$D$8)</x:f>
      </x:c>
      <x:c r="O968" s="46" t="str">
        <x:f>IF(D968="","",MAX(0,MIN(1,N968/Configuracion!$B$10)))</x:f>
      </x:c>
    </x:row>
    <x:row r="969">
      <x:c r="A969" s="34"/>
      <x:c r="B969" s="36"/>
      <x:c r="C969" s="72"/>
      <x:c r="D969" s="71"/>
      <x:c r="E969" s="41" t="str">
        <x:f>IF(D969="","",D969+273.15)</x:f>
      </x:c>
      <x:c r="F969" s="44" t="str">
        <x:f>IF(OR(C969="",D969="",C968=""),"",(C969-C968)/60)</x:f>
      </x:c>
      <x:c r="G969" s="44" t="str">
        <x:f>IF(D969="","",EXP(-Configuracion!$B$4/Configuracion!$B$5*(1/AVERAGE(E968:E969)-1/(Configuracion!$B$3+273.15))))</x:f>
      </x:c>
      <x:c r="H969" s="44" t="str">
        <x:f>IF(D969="","",F969*G969)</x:f>
      </x:c>
      <x:c r="I969" s="44" t="str">
        <x:f>IF(D969="","",I968+H969)</x:f>
      </x:c>
      <x:c r="J969" s="46" t="str">
        <x:f>IF(D969="","",MIN(1,I969/Configuracion!$B$11))</x:f>
      </x:c>
      <x:c r="K969" s="48" t="str">
        <x:f>IF(D969="","",MAX(0,(Configuracion!$B$11-I969)/G969))</x:f>
      </x:c>
      <x:c r="L969" s="73" t="str">
        <x:f>IF(D969="","",C969+K969*60)</x:f>
      </x:c>
      <x:c r="M969" t="str">
        <x:f>IF(D969="","",IF(J969&gt;=Configuracion!$B$13,"DESLIZAR",IF(J969&gt;=Configuracion!$B$12,"PREPARARSE","NO DESLIZAR")))</x:f>
      </x:c>
      <x:c r="N969" s="41" t="str">
        <x:f>IF(D969="","",D969-$D$8)</x:f>
      </x:c>
      <x:c r="O969" s="46" t="str">
        <x:f>IF(D969="","",MAX(0,MIN(1,N969/Configuracion!$B$10)))</x:f>
      </x:c>
    </x:row>
    <x:row r="970">
      <x:c r="A970" s="34"/>
      <x:c r="B970" s="36"/>
      <x:c r="C970" s="72"/>
      <x:c r="D970" s="71"/>
      <x:c r="E970" s="41" t="str">
        <x:f>IF(D970="","",D970+273.15)</x:f>
      </x:c>
      <x:c r="F970" s="44" t="str">
        <x:f>IF(OR(C970="",D970="",C969=""),"",(C970-C969)/60)</x:f>
      </x:c>
      <x:c r="G970" s="44" t="str">
        <x:f>IF(D970="","",EXP(-Configuracion!$B$4/Configuracion!$B$5*(1/AVERAGE(E969:E970)-1/(Configuracion!$B$3+273.15))))</x:f>
      </x:c>
      <x:c r="H970" s="44" t="str">
        <x:f>IF(D970="","",F970*G970)</x:f>
      </x:c>
      <x:c r="I970" s="44" t="str">
        <x:f>IF(D970="","",I969+H970)</x:f>
      </x:c>
      <x:c r="J970" s="46" t="str">
        <x:f>IF(D970="","",MIN(1,I970/Configuracion!$B$11))</x:f>
      </x:c>
      <x:c r="K970" s="48" t="str">
        <x:f>IF(D970="","",MAX(0,(Configuracion!$B$11-I970)/G970))</x:f>
      </x:c>
      <x:c r="L970" s="73" t="str">
        <x:f>IF(D970="","",C970+K970*60)</x:f>
      </x:c>
      <x:c r="M970" t="str">
        <x:f>IF(D970="","",IF(J970&gt;=Configuracion!$B$13,"DESLIZAR",IF(J970&gt;=Configuracion!$B$12,"PREPARARSE","NO DESLIZAR")))</x:f>
      </x:c>
      <x:c r="N970" s="41" t="str">
        <x:f>IF(D970="","",D970-$D$8)</x:f>
      </x:c>
      <x:c r="O970" s="46" t="str">
        <x:f>IF(D970="","",MAX(0,MIN(1,N970/Configuracion!$B$10)))</x:f>
      </x:c>
    </x:row>
    <x:row r="971">
      <x:c r="A971" s="34"/>
      <x:c r="B971" s="36"/>
      <x:c r="C971" s="72"/>
      <x:c r="D971" s="71"/>
      <x:c r="E971" s="41" t="str">
        <x:f>IF(D971="","",D971+273.15)</x:f>
      </x:c>
      <x:c r="F971" s="44" t="str">
        <x:f>IF(OR(C971="",D971="",C970=""),"",(C971-C970)/60)</x:f>
      </x:c>
      <x:c r="G971" s="44" t="str">
        <x:f>IF(D971="","",EXP(-Configuracion!$B$4/Configuracion!$B$5*(1/AVERAGE(E970:E971)-1/(Configuracion!$B$3+273.15))))</x:f>
      </x:c>
      <x:c r="H971" s="44" t="str">
        <x:f>IF(D971="","",F971*G971)</x:f>
      </x:c>
      <x:c r="I971" s="44" t="str">
        <x:f>IF(D971="","",I970+H971)</x:f>
      </x:c>
      <x:c r="J971" s="46" t="str">
        <x:f>IF(D971="","",MIN(1,I971/Configuracion!$B$11))</x:f>
      </x:c>
      <x:c r="K971" s="48" t="str">
        <x:f>IF(D971="","",MAX(0,(Configuracion!$B$11-I971)/G971))</x:f>
      </x:c>
      <x:c r="L971" s="73" t="str">
        <x:f>IF(D971="","",C971+K971*60)</x:f>
      </x:c>
      <x:c r="M971" t="str">
        <x:f>IF(D971="","",IF(J971&gt;=Configuracion!$B$13,"DESLIZAR",IF(J971&gt;=Configuracion!$B$12,"PREPARARSE","NO DESLIZAR")))</x:f>
      </x:c>
      <x:c r="N971" s="41" t="str">
        <x:f>IF(D971="","",D971-$D$8)</x:f>
      </x:c>
      <x:c r="O971" s="46" t="str">
        <x:f>IF(D971="","",MAX(0,MIN(1,N971/Configuracion!$B$10)))</x:f>
      </x:c>
    </x:row>
    <x:row r="972">
      <x:c r="A972" s="34"/>
      <x:c r="B972" s="36"/>
      <x:c r="C972" s="72"/>
      <x:c r="D972" s="71"/>
      <x:c r="E972" s="41" t="str">
        <x:f>IF(D972="","",D972+273.15)</x:f>
      </x:c>
      <x:c r="F972" s="44" t="str">
        <x:f>IF(OR(C972="",D972="",C971=""),"",(C972-C971)/60)</x:f>
      </x:c>
      <x:c r="G972" s="44" t="str">
        <x:f>IF(D972="","",EXP(-Configuracion!$B$4/Configuracion!$B$5*(1/AVERAGE(E971:E972)-1/(Configuracion!$B$3+273.15))))</x:f>
      </x:c>
      <x:c r="H972" s="44" t="str">
        <x:f>IF(D972="","",F972*G972)</x:f>
      </x:c>
      <x:c r="I972" s="44" t="str">
        <x:f>IF(D972="","",I971+H972)</x:f>
      </x:c>
      <x:c r="J972" s="46" t="str">
        <x:f>IF(D972="","",MIN(1,I972/Configuracion!$B$11))</x:f>
      </x:c>
      <x:c r="K972" s="48" t="str">
        <x:f>IF(D972="","",MAX(0,(Configuracion!$B$11-I972)/G972))</x:f>
      </x:c>
      <x:c r="L972" s="73" t="str">
        <x:f>IF(D972="","",C972+K972*60)</x:f>
      </x:c>
      <x:c r="M972" t="str">
        <x:f>IF(D972="","",IF(J972&gt;=Configuracion!$B$13,"DESLIZAR",IF(J972&gt;=Configuracion!$B$12,"PREPARARSE","NO DESLIZAR")))</x:f>
      </x:c>
      <x:c r="N972" s="41" t="str">
        <x:f>IF(D972="","",D972-$D$8)</x:f>
      </x:c>
      <x:c r="O972" s="46" t="str">
        <x:f>IF(D972="","",MAX(0,MIN(1,N972/Configuracion!$B$10)))</x:f>
      </x:c>
    </x:row>
    <x:row r="973">
      <x:c r="A973" s="34"/>
      <x:c r="B973" s="36"/>
      <x:c r="C973" s="72"/>
      <x:c r="D973" s="71"/>
      <x:c r="E973" s="41" t="str">
        <x:f>IF(D973="","",D973+273.15)</x:f>
      </x:c>
      <x:c r="F973" s="44" t="str">
        <x:f>IF(OR(C973="",D973="",C972=""),"",(C973-C972)/60)</x:f>
      </x:c>
      <x:c r="G973" s="44" t="str">
        <x:f>IF(D973="","",EXP(-Configuracion!$B$4/Configuracion!$B$5*(1/AVERAGE(E972:E973)-1/(Configuracion!$B$3+273.15))))</x:f>
      </x:c>
      <x:c r="H973" s="44" t="str">
        <x:f>IF(D973="","",F973*G973)</x:f>
      </x:c>
      <x:c r="I973" s="44" t="str">
        <x:f>IF(D973="","",I972+H973)</x:f>
      </x:c>
      <x:c r="J973" s="46" t="str">
        <x:f>IF(D973="","",MIN(1,I973/Configuracion!$B$11))</x:f>
      </x:c>
      <x:c r="K973" s="48" t="str">
        <x:f>IF(D973="","",MAX(0,(Configuracion!$B$11-I973)/G973))</x:f>
      </x:c>
      <x:c r="L973" s="73" t="str">
        <x:f>IF(D973="","",C973+K973*60)</x:f>
      </x:c>
      <x:c r="M973" t="str">
        <x:f>IF(D973="","",IF(J973&gt;=Configuracion!$B$13,"DESLIZAR",IF(J973&gt;=Configuracion!$B$12,"PREPARARSE","NO DESLIZAR")))</x:f>
      </x:c>
      <x:c r="N973" s="41" t="str">
        <x:f>IF(D973="","",D973-$D$8)</x:f>
      </x:c>
      <x:c r="O973" s="46" t="str">
        <x:f>IF(D973="","",MAX(0,MIN(1,N973/Configuracion!$B$10)))</x:f>
      </x:c>
    </x:row>
    <x:row r="974">
      <x:c r="A974" s="34"/>
      <x:c r="B974" s="36"/>
      <x:c r="C974" s="72"/>
      <x:c r="D974" s="71"/>
      <x:c r="E974" s="41" t="str">
        <x:f>IF(D974="","",D974+273.15)</x:f>
      </x:c>
      <x:c r="F974" s="44" t="str">
        <x:f>IF(OR(C974="",D974="",C973=""),"",(C974-C973)/60)</x:f>
      </x:c>
      <x:c r="G974" s="44" t="str">
        <x:f>IF(D974="","",EXP(-Configuracion!$B$4/Configuracion!$B$5*(1/AVERAGE(E973:E974)-1/(Configuracion!$B$3+273.15))))</x:f>
      </x:c>
      <x:c r="H974" s="44" t="str">
        <x:f>IF(D974="","",F974*G974)</x:f>
      </x:c>
      <x:c r="I974" s="44" t="str">
        <x:f>IF(D974="","",I973+H974)</x:f>
      </x:c>
      <x:c r="J974" s="46" t="str">
        <x:f>IF(D974="","",MIN(1,I974/Configuracion!$B$11))</x:f>
      </x:c>
      <x:c r="K974" s="48" t="str">
        <x:f>IF(D974="","",MAX(0,(Configuracion!$B$11-I974)/G974))</x:f>
      </x:c>
      <x:c r="L974" s="73" t="str">
        <x:f>IF(D974="","",C974+K974*60)</x:f>
      </x:c>
      <x:c r="M974" t="str">
        <x:f>IF(D974="","",IF(J974&gt;=Configuracion!$B$13,"DESLIZAR",IF(J974&gt;=Configuracion!$B$12,"PREPARARSE","NO DESLIZAR")))</x:f>
      </x:c>
      <x:c r="N974" s="41" t="str">
        <x:f>IF(D974="","",D974-$D$8)</x:f>
      </x:c>
      <x:c r="O974" s="46" t="str">
        <x:f>IF(D974="","",MAX(0,MIN(1,N974/Configuracion!$B$10)))</x:f>
      </x:c>
    </x:row>
    <x:row r="975">
      <x:c r="A975" s="34"/>
      <x:c r="B975" s="36"/>
      <x:c r="C975" s="72"/>
      <x:c r="D975" s="71"/>
      <x:c r="E975" s="41" t="str">
        <x:f>IF(D975="","",D975+273.15)</x:f>
      </x:c>
      <x:c r="F975" s="44" t="str">
        <x:f>IF(OR(C975="",D975="",C974=""),"",(C975-C974)/60)</x:f>
      </x:c>
      <x:c r="G975" s="44" t="str">
        <x:f>IF(D975="","",EXP(-Configuracion!$B$4/Configuracion!$B$5*(1/AVERAGE(E974:E975)-1/(Configuracion!$B$3+273.15))))</x:f>
      </x:c>
      <x:c r="H975" s="44" t="str">
        <x:f>IF(D975="","",F975*G975)</x:f>
      </x:c>
      <x:c r="I975" s="44" t="str">
        <x:f>IF(D975="","",I974+H975)</x:f>
      </x:c>
      <x:c r="J975" s="46" t="str">
        <x:f>IF(D975="","",MIN(1,I975/Configuracion!$B$11))</x:f>
      </x:c>
      <x:c r="K975" s="48" t="str">
        <x:f>IF(D975="","",MAX(0,(Configuracion!$B$11-I975)/G975))</x:f>
      </x:c>
      <x:c r="L975" s="73" t="str">
        <x:f>IF(D975="","",C975+K975*60)</x:f>
      </x:c>
      <x:c r="M975" t="str">
        <x:f>IF(D975="","",IF(J975&gt;=Configuracion!$B$13,"DESLIZAR",IF(J975&gt;=Configuracion!$B$12,"PREPARARSE","NO DESLIZAR")))</x:f>
      </x:c>
      <x:c r="N975" s="41" t="str">
        <x:f>IF(D975="","",D975-$D$8)</x:f>
      </x:c>
      <x:c r="O975" s="46" t="str">
        <x:f>IF(D975="","",MAX(0,MIN(1,N975/Configuracion!$B$10)))</x:f>
      </x:c>
    </x:row>
    <x:row r="976">
      <x:c r="A976" s="34"/>
      <x:c r="B976" s="36"/>
      <x:c r="C976" s="72"/>
      <x:c r="D976" s="71"/>
      <x:c r="E976" s="41" t="str">
        <x:f>IF(D976="","",D976+273.15)</x:f>
      </x:c>
      <x:c r="F976" s="44" t="str">
        <x:f>IF(OR(C976="",D976="",C975=""),"",(C976-C975)/60)</x:f>
      </x:c>
      <x:c r="G976" s="44" t="str">
        <x:f>IF(D976="","",EXP(-Configuracion!$B$4/Configuracion!$B$5*(1/AVERAGE(E975:E976)-1/(Configuracion!$B$3+273.15))))</x:f>
      </x:c>
      <x:c r="H976" s="44" t="str">
        <x:f>IF(D976="","",F976*G976)</x:f>
      </x:c>
      <x:c r="I976" s="44" t="str">
        <x:f>IF(D976="","",I975+H976)</x:f>
      </x:c>
      <x:c r="J976" s="46" t="str">
        <x:f>IF(D976="","",MIN(1,I976/Configuracion!$B$11))</x:f>
      </x:c>
      <x:c r="K976" s="48" t="str">
        <x:f>IF(D976="","",MAX(0,(Configuracion!$B$11-I976)/G976))</x:f>
      </x:c>
      <x:c r="L976" s="73" t="str">
        <x:f>IF(D976="","",C976+K976*60)</x:f>
      </x:c>
      <x:c r="M976" t="str">
        <x:f>IF(D976="","",IF(J976&gt;=Configuracion!$B$13,"DESLIZAR",IF(J976&gt;=Configuracion!$B$12,"PREPARARSE","NO DESLIZAR")))</x:f>
      </x:c>
      <x:c r="N976" s="41" t="str">
        <x:f>IF(D976="","",D976-$D$8)</x:f>
      </x:c>
      <x:c r="O976" s="46" t="str">
        <x:f>IF(D976="","",MAX(0,MIN(1,N976/Configuracion!$B$10)))</x:f>
      </x:c>
    </x:row>
    <x:row r="977">
      <x:c r="A977" s="34"/>
      <x:c r="B977" s="36"/>
      <x:c r="C977" s="72"/>
      <x:c r="D977" s="71"/>
      <x:c r="E977" s="41" t="str">
        <x:f>IF(D977="","",D977+273.15)</x:f>
      </x:c>
      <x:c r="F977" s="44" t="str">
        <x:f>IF(OR(C977="",D977="",C976=""),"",(C977-C976)/60)</x:f>
      </x:c>
      <x:c r="G977" s="44" t="str">
        <x:f>IF(D977="","",EXP(-Configuracion!$B$4/Configuracion!$B$5*(1/AVERAGE(E976:E977)-1/(Configuracion!$B$3+273.15))))</x:f>
      </x:c>
      <x:c r="H977" s="44" t="str">
        <x:f>IF(D977="","",F977*G977)</x:f>
      </x:c>
      <x:c r="I977" s="44" t="str">
        <x:f>IF(D977="","",I976+H977)</x:f>
      </x:c>
      <x:c r="J977" s="46" t="str">
        <x:f>IF(D977="","",MIN(1,I977/Configuracion!$B$11))</x:f>
      </x:c>
      <x:c r="K977" s="48" t="str">
        <x:f>IF(D977="","",MAX(0,(Configuracion!$B$11-I977)/G977))</x:f>
      </x:c>
      <x:c r="L977" s="73" t="str">
        <x:f>IF(D977="","",C977+K977*60)</x:f>
      </x:c>
      <x:c r="M977" t="str">
        <x:f>IF(D977="","",IF(J977&gt;=Configuracion!$B$13,"DESLIZAR",IF(J977&gt;=Configuracion!$B$12,"PREPARARSE","NO DESLIZAR")))</x:f>
      </x:c>
      <x:c r="N977" s="41" t="str">
        <x:f>IF(D977="","",D977-$D$8)</x:f>
      </x:c>
      <x:c r="O977" s="46" t="str">
        <x:f>IF(D977="","",MAX(0,MIN(1,N977/Configuracion!$B$10)))</x:f>
      </x:c>
    </x:row>
    <x:row r="978">
      <x:c r="A978" s="34"/>
      <x:c r="B978" s="36"/>
      <x:c r="C978" s="72"/>
      <x:c r="D978" s="71"/>
      <x:c r="E978" s="41" t="str">
        <x:f>IF(D978="","",D978+273.15)</x:f>
      </x:c>
      <x:c r="F978" s="44" t="str">
        <x:f>IF(OR(C978="",D978="",C977=""),"",(C978-C977)/60)</x:f>
      </x:c>
      <x:c r="G978" s="44" t="str">
        <x:f>IF(D978="","",EXP(-Configuracion!$B$4/Configuracion!$B$5*(1/AVERAGE(E977:E978)-1/(Configuracion!$B$3+273.15))))</x:f>
      </x:c>
      <x:c r="H978" s="44" t="str">
        <x:f>IF(D978="","",F978*G978)</x:f>
      </x:c>
      <x:c r="I978" s="44" t="str">
        <x:f>IF(D978="","",I977+H978)</x:f>
      </x:c>
      <x:c r="J978" s="46" t="str">
        <x:f>IF(D978="","",MIN(1,I978/Configuracion!$B$11))</x:f>
      </x:c>
      <x:c r="K978" s="48" t="str">
        <x:f>IF(D978="","",MAX(0,(Configuracion!$B$11-I978)/G978))</x:f>
      </x:c>
      <x:c r="L978" s="73" t="str">
        <x:f>IF(D978="","",C978+K978*60)</x:f>
      </x:c>
      <x:c r="M978" t="str">
        <x:f>IF(D978="","",IF(J978&gt;=Configuracion!$B$13,"DESLIZAR",IF(J978&gt;=Configuracion!$B$12,"PREPARARSE","NO DESLIZAR")))</x:f>
      </x:c>
      <x:c r="N978" s="41" t="str">
        <x:f>IF(D978="","",D978-$D$8)</x:f>
      </x:c>
      <x:c r="O978" s="46" t="str">
        <x:f>IF(D978="","",MAX(0,MIN(1,N978/Configuracion!$B$10)))</x:f>
      </x:c>
    </x:row>
    <x:row r="979">
      <x:c r="A979" s="34"/>
      <x:c r="B979" s="36"/>
      <x:c r="C979" s="72"/>
      <x:c r="D979" s="71"/>
      <x:c r="E979" s="41" t="str">
        <x:f>IF(D979="","",D979+273.15)</x:f>
      </x:c>
      <x:c r="F979" s="44" t="str">
        <x:f>IF(OR(C979="",D979="",C978=""),"",(C979-C978)/60)</x:f>
      </x:c>
      <x:c r="G979" s="44" t="str">
        <x:f>IF(D979="","",EXP(-Configuracion!$B$4/Configuracion!$B$5*(1/AVERAGE(E978:E979)-1/(Configuracion!$B$3+273.15))))</x:f>
      </x:c>
      <x:c r="H979" s="44" t="str">
        <x:f>IF(D979="","",F979*G979)</x:f>
      </x:c>
      <x:c r="I979" s="44" t="str">
        <x:f>IF(D979="","",I978+H979)</x:f>
      </x:c>
      <x:c r="J979" s="46" t="str">
        <x:f>IF(D979="","",MIN(1,I979/Configuracion!$B$11))</x:f>
      </x:c>
      <x:c r="K979" s="48" t="str">
        <x:f>IF(D979="","",MAX(0,(Configuracion!$B$11-I979)/G979))</x:f>
      </x:c>
      <x:c r="L979" s="73" t="str">
        <x:f>IF(D979="","",C979+K979*60)</x:f>
      </x:c>
      <x:c r="M979" t="str">
        <x:f>IF(D979="","",IF(J979&gt;=Configuracion!$B$13,"DESLIZAR",IF(J979&gt;=Configuracion!$B$12,"PREPARARSE","NO DESLIZAR")))</x:f>
      </x:c>
      <x:c r="N979" s="41" t="str">
        <x:f>IF(D979="","",D979-$D$8)</x:f>
      </x:c>
      <x:c r="O979" s="46" t="str">
        <x:f>IF(D979="","",MAX(0,MIN(1,N979/Configuracion!$B$10)))</x:f>
      </x:c>
    </x:row>
    <x:row r="980">
      <x:c r="A980" s="34"/>
      <x:c r="B980" s="36"/>
      <x:c r="C980" s="72"/>
      <x:c r="D980" s="71"/>
      <x:c r="E980" s="41" t="str">
        <x:f>IF(D980="","",D980+273.15)</x:f>
      </x:c>
      <x:c r="F980" s="44" t="str">
        <x:f>IF(OR(C980="",D980="",C979=""),"",(C980-C979)/60)</x:f>
      </x:c>
      <x:c r="G980" s="44" t="str">
        <x:f>IF(D980="","",EXP(-Configuracion!$B$4/Configuracion!$B$5*(1/AVERAGE(E979:E980)-1/(Configuracion!$B$3+273.15))))</x:f>
      </x:c>
      <x:c r="H980" s="44" t="str">
        <x:f>IF(D980="","",F980*G980)</x:f>
      </x:c>
      <x:c r="I980" s="44" t="str">
        <x:f>IF(D980="","",I979+H980)</x:f>
      </x:c>
      <x:c r="J980" s="46" t="str">
        <x:f>IF(D980="","",MIN(1,I980/Configuracion!$B$11))</x:f>
      </x:c>
      <x:c r="K980" s="48" t="str">
        <x:f>IF(D980="","",MAX(0,(Configuracion!$B$11-I980)/G980))</x:f>
      </x:c>
      <x:c r="L980" s="73" t="str">
        <x:f>IF(D980="","",C980+K980*60)</x:f>
      </x:c>
      <x:c r="M980" t="str">
        <x:f>IF(D980="","",IF(J980&gt;=Configuracion!$B$13,"DESLIZAR",IF(J980&gt;=Configuracion!$B$12,"PREPARARSE","NO DESLIZAR")))</x:f>
      </x:c>
      <x:c r="N980" s="41" t="str">
        <x:f>IF(D980="","",D980-$D$8)</x:f>
      </x:c>
      <x:c r="O980" s="46" t="str">
        <x:f>IF(D980="","",MAX(0,MIN(1,N980/Configuracion!$B$10)))</x:f>
      </x:c>
    </x:row>
    <x:row r="981">
      <x:c r="A981" s="34"/>
      <x:c r="B981" s="36"/>
      <x:c r="C981" s="72"/>
      <x:c r="D981" s="71"/>
      <x:c r="E981" s="41" t="str">
        <x:f>IF(D981="","",D981+273.15)</x:f>
      </x:c>
      <x:c r="F981" s="44" t="str">
        <x:f>IF(OR(C981="",D981="",C980=""),"",(C981-C980)/60)</x:f>
      </x:c>
      <x:c r="G981" s="44" t="str">
        <x:f>IF(D981="","",EXP(-Configuracion!$B$4/Configuracion!$B$5*(1/AVERAGE(E980:E981)-1/(Configuracion!$B$3+273.15))))</x:f>
      </x:c>
      <x:c r="H981" s="44" t="str">
        <x:f>IF(D981="","",F981*G981)</x:f>
      </x:c>
      <x:c r="I981" s="44" t="str">
        <x:f>IF(D981="","",I980+H981)</x:f>
      </x:c>
      <x:c r="J981" s="46" t="str">
        <x:f>IF(D981="","",MIN(1,I981/Configuracion!$B$11))</x:f>
      </x:c>
      <x:c r="K981" s="48" t="str">
        <x:f>IF(D981="","",MAX(0,(Configuracion!$B$11-I981)/G981))</x:f>
      </x:c>
      <x:c r="L981" s="73" t="str">
        <x:f>IF(D981="","",C981+K981*60)</x:f>
      </x:c>
      <x:c r="M981" t="str">
        <x:f>IF(D981="","",IF(J981&gt;=Configuracion!$B$13,"DESLIZAR",IF(J981&gt;=Configuracion!$B$12,"PREPARARSE","NO DESLIZAR")))</x:f>
      </x:c>
      <x:c r="N981" s="41" t="str">
        <x:f>IF(D981="","",D981-$D$8)</x:f>
      </x:c>
      <x:c r="O981" s="46" t="str">
        <x:f>IF(D981="","",MAX(0,MIN(1,N981/Configuracion!$B$10)))</x:f>
      </x:c>
    </x:row>
    <x:row r="982">
      <x:c r="A982" s="34"/>
      <x:c r="B982" s="36"/>
      <x:c r="C982" s="72"/>
      <x:c r="D982" s="71"/>
      <x:c r="E982" s="41" t="str">
        <x:f>IF(D982="","",D982+273.15)</x:f>
      </x:c>
      <x:c r="F982" s="44" t="str">
        <x:f>IF(OR(C982="",D982="",C981=""),"",(C982-C981)/60)</x:f>
      </x:c>
      <x:c r="G982" s="44" t="str">
        <x:f>IF(D982="","",EXP(-Configuracion!$B$4/Configuracion!$B$5*(1/AVERAGE(E981:E982)-1/(Configuracion!$B$3+273.15))))</x:f>
      </x:c>
      <x:c r="H982" s="44" t="str">
        <x:f>IF(D982="","",F982*G982)</x:f>
      </x:c>
      <x:c r="I982" s="44" t="str">
        <x:f>IF(D982="","",I981+H982)</x:f>
      </x:c>
      <x:c r="J982" s="46" t="str">
        <x:f>IF(D982="","",MIN(1,I982/Configuracion!$B$11))</x:f>
      </x:c>
      <x:c r="K982" s="48" t="str">
        <x:f>IF(D982="","",MAX(0,(Configuracion!$B$11-I982)/G982))</x:f>
      </x:c>
      <x:c r="L982" s="73" t="str">
        <x:f>IF(D982="","",C982+K982*60)</x:f>
      </x:c>
      <x:c r="M982" t="str">
        <x:f>IF(D982="","",IF(J982&gt;=Configuracion!$B$13,"DESLIZAR",IF(J982&gt;=Configuracion!$B$12,"PREPARARSE","NO DESLIZAR")))</x:f>
      </x:c>
      <x:c r="N982" s="41" t="str">
        <x:f>IF(D982="","",D982-$D$8)</x:f>
      </x:c>
      <x:c r="O982" s="46" t="str">
        <x:f>IF(D982="","",MAX(0,MIN(1,N982/Configuracion!$B$10)))</x:f>
      </x:c>
    </x:row>
    <x:row r="983">
      <x:c r="A983" s="34"/>
      <x:c r="B983" s="36"/>
      <x:c r="C983" s="72"/>
      <x:c r="D983" s="71"/>
      <x:c r="E983" s="41" t="str">
        <x:f>IF(D983="","",D983+273.15)</x:f>
      </x:c>
      <x:c r="F983" s="44" t="str">
        <x:f>IF(OR(C983="",D983="",C982=""),"",(C983-C982)/60)</x:f>
      </x:c>
      <x:c r="G983" s="44" t="str">
        <x:f>IF(D983="","",EXP(-Configuracion!$B$4/Configuracion!$B$5*(1/AVERAGE(E982:E983)-1/(Configuracion!$B$3+273.15))))</x:f>
      </x:c>
      <x:c r="H983" s="44" t="str">
        <x:f>IF(D983="","",F983*G983)</x:f>
      </x:c>
      <x:c r="I983" s="44" t="str">
        <x:f>IF(D983="","",I982+H983)</x:f>
      </x:c>
      <x:c r="J983" s="46" t="str">
        <x:f>IF(D983="","",MIN(1,I983/Configuracion!$B$11))</x:f>
      </x:c>
      <x:c r="K983" s="48" t="str">
        <x:f>IF(D983="","",MAX(0,(Configuracion!$B$11-I983)/G983))</x:f>
      </x:c>
      <x:c r="L983" s="73" t="str">
        <x:f>IF(D983="","",C983+K983*60)</x:f>
      </x:c>
      <x:c r="M983" t="str">
        <x:f>IF(D983="","",IF(J983&gt;=Configuracion!$B$13,"DESLIZAR",IF(J983&gt;=Configuracion!$B$12,"PREPARARSE","NO DESLIZAR")))</x:f>
      </x:c>
      <x:c r="N983" s="41" t="str">
        <x:f>IF(D983="","",D983-$D$8)</x:f>
      </x:c>
      <x:c r="O983" s="46" t="str">
        <x:f>IF(D983="","",MAX(0,MIN(1,N983/Configuracion!$B$10)))</x:f>
      </x:c>
    </x:row>
    <x:row r="984">
      <x:c r="A984" s="34"/>
      <x:c r="B984" s="36"/>
      <x:c r="C984" s="72"/>
      <x:c r="D984" s="71"/>
      <x:c r="E984" s="41" t="str">
        <x:f>IF(D984="","",D984+273.15)</x:f>
      </x:c>
      <x:c r="F984" s="44" t="str">
        <x:f>IF(OR(C984="",D984="",C983=""),"",(C984-C983)/60)</x:f>
      </x:c>
      <x:c r="G984" s="44" t="str">
        <x:f>IF(D984="","",EXP(-Configuracion!$B$4/Configuracion!$B$5*(1/AVERAGE(E983:E984)-1/(Configuracion!$B$3+273.15))))</x:f>
      </x:c>
      <x:c r="H984" s="44" t="str">
        <x:f>IF(D984="","",F984*G984)</x:f>
      </x:c>
      <x:c r="I984" s="44" t="str">
        <x:f>IF(D984="","",I983+H984)</x:f>
      </x:c>
      <x:c r="J984" s="46" t="str">
        <x:f>IF(D984="","",MIN(1,I984/Configuracion!$B$11))</x:f>
      </x:c>
      <x:c r="K984" s="48" t="str">
        <x:f>IF(D984="","",MAX(0,(Configuracion!$B$11-I984)/G984))</x:f>
      </x:c>
      <x:c r="L984" s="73" t="str">
        <x:f>IF(D984="","",C984+K984*60)</x:f>
      </x:c>
      <x:c r="M984" t="str">
        <x:f>IF(D984="","",IF(J984&gt;=Configuracion!$B$13,"DESLIZAR",IF(J984&gt;=Configuracion!$B$12,"PREPARARSE","NO DESLIZAR")))</x:f>
      </x:c>
      <x:c r="N984" s="41" t="str">
        <x:f>IF(D984="","",D984-$D$8)</x:f>
      </x:c>
      <x:c r="O984" s="46" t="str">
        <x:f>IF(D984="","",MAX(0,MIN(1,N984/Configuracion!$B$10)))</x:f>
      </x:c>
    </x:row>
    <x:row r="985">
      <x:c r="A985" s="34"/>
      <x:c r="B985" s="36"/>
      <x:c r="C985" s="72"/>
      <x:c r="D985" s="71"/>
      <x:c r="E985" s="41" t="str">
        <x:f>IF(D985="","",D985+273.15)</x:f>
      </x:c>
      <x:c r="F985" s="44" t="str">
        <x:f>IF(OR(C985="",D985="",C984=""),"",(C985-C984)/60)</x:f>
      </x:c>
      <x:c r="G985" s="44" t="str">
        <x:f>IF(D985="","",EXP(-Configuracion!$B$4/Configuracion!$B$5*(1/AVERAGE(E984:E985)-1/(Configuracion!$B$3+273.15))))</x:f>
      </x:c>
      <x:c r="H985" s="44" t="str">
        <x:f>IF(D985="","",F985*G985)</x:f>
      </x:c>
      <x:c r="I985" s="44" t="str">
        <x:f>IF(D985="","",I984+H985)</x:f>
      </x:c>
      <x:c r="J985" s="46" t="str">
        <x:f>IF(D985="","",MIN(1,I985/Configuracion!$B$11))</x:f>
      </x:c>
      <x:c r="K985" s="48" t="str">
        <x:f>IF(D985="","",MAX(0,(Configuracion!$B$11-I985)/G985))</x:f>
      </x:c>
      <x:c r="L985" s="73" t="str">
        <x:f>IF(D985="","",C985+K985*60)</x:f>
      </x:c>
      <x:c r="M985" t="str">
        <x:f>IF(D985="","",IF(J985&gt;=Configuracion!$B$13,"DESLIZAR",IF(J985&gt;=Configuracion!$B$12,"PREPARARSE","NO DESLIZAR")))</x:f>
      </x:c>
      <x:c r="N985" s="41" t="str">
        <x:f>IF(D985="","",D985-$D$8)</x:f>
      </x:c>
      <x:c r="O985" s="46" t="str">
        <x:f>IF(D985="","",MAX(0,MIN(1,N985/Configuracion!$B$10)))</x:f>
      </x:c>
    </x:row>
    <x:row r="986">
      <x:c r="A986" s="34"/>
      <x:c r="B986" s="36"/>
      <x:c r="C986" s="72"/>
      <x:c r="D986" s="71"/>
      <x:c r="E986" s="41" t="str">
        <x:f>IF(D986="","",D986+273.15)</x:f>
      </x:c>
      <x:c r="F986" s="44" t="str">
        <x:f>IF(OR(C986="",D986="",C985=""),"",(C986-C985)/60)</x:f>
      </x:c>
      <x:c r="G986" s="44" t="str">
        <x:f>IF(D986="","",EXP(-Configuracion!$B$4/Configuracion!$B$5*(1/AVERAGE(E985:E986)-1/(Configuracion!$B$3+273.15))))</x:f>
      </x:c>
      <x:c r="H986" s="44" t="str">
        <x:f>IF(D986="","",F986*G986)</x:f>
      </x:c>
      <x:c r="I986" s="44" t="str">
        <x:f>IF(D986="","",I985+H986)</x:f>
      </x:c>
      <x:c r="J986" s="46" t="str">
        <x:f>IF(D986="","",MIN(1,I986/Configuracion!$B$11))</x:f>
      </x:c>
      <x:c r="K986" s="48" t="str">
        <x:f>IF(D986="","",MAX(0,(Configuracion!$B$11-I986)/G986))</x:f>
      </x:c>
      <x:c r="L986" s="73" t="str">
        <x:f>IF(D986="","",C986+K986*60)</x:f>
      </x:c>
      <x:c r="M986" t="str">
        <x:f>IF(D986="","",IF(J986&gt;=Configuracion!$B$13,"DESLIZAR",IF(J986&gt;=Configuracion!$B$12,"PREPARARSE","NO DESLIZAR")))</x:f>
      </x:c>
      <x:c r="N986" s="41" t="str">
        <x:f>IF(D986="","",D986-$D$8)</x:f>
      </x:c>
      <x:c r="O986" s="46" t="str">
        <x:f>IF(D986="","",MAX(0,MIN(1,N986/Configuracion!$B$10)))</x:f>
      </x:c>
    </x:row>
    <x:row r="987">
      <x:c r="A987" s="34"/>
      <x:c r="B987" s="36"/>
      <x:c r="C987" s="72"/>
      <x:c r="D987" s="71"/>
      <x:c r="E987" s="41" t="str">
        <x:f>IF(D987="","",D987+273.15)</x:f>
      </x:c>
      <x:c r="F987" s="44" t="str">
        <x:f>IF(OR(C987="",D987="",C986=""),"",(C987-C986)/60)</x:f>
      </x:c>
      <x:c r="G987" s="44" t="str">
        <x:f>IF(D987="","",EXP(-Configuracion!$B$4/Configuracion!$B$5*(1/AVERAGE(E986:E987)-1/(Configuracion!$B$3+273.15))))</x:f>
      </x:c>
      <x:c r="H987" s="44" t="str">
        <x:f>IF(D987="","",F987*G987)</x:f>
      </x:c>
      <x:c r="I987" s="44" t="str">
        <x:f>IF(D987="","",I986+H987)</x:f>
      </x:c>
      <x:c r="J987" s="46" t="str">
        <x:f>IF(D987="","",MIN(1,I987/Configuracion!$B$11))</x:f>
      </x:c>
      <x:c r="K987" s="48" t="str">
        <x:f>IF(D987="","",MAX(0,(Configuracion!$B$11-I987)/G987))</x:f>
      </x:c>
      <x:c r="L987" s="73" t="str">
        <x:f>IF(D987="","",C987+K987*60)</x:f>
      </x:c>
      <x:c r="M987" t="str">
        <x:f>IF(D987="","",IF(J987&gt;=Configuracion!$B$13,"DESLIZAR",IF(J987&gt;=Configuracion!$B$12,"PREPARARSE","NO DESLIZAR")))</x:f>
      </x:c>
      <x:c r="N987" s="41" t="str">
        <x:f>IF(D987="","",D987-$D$8)</x:f>
      </x:c>
      <x:c r="O987" s="46" t="str">
        <x:f>IF(D987="","",MAX(0,MIN(1,N987/Configuracion!$B$10)))</x:f>
      </x:c>
    </x:row>
    <x:row r="988">
      <x:c r="A988" s="34"/>
      <x:c r="B988" s="36"/>
      <x:c r="C988" s="72"/>
      <x:c r="D988" s="71"/>
      <x:c r="E988" s="41" t="str">
        <x:f>IF(D988="","",D988+273.15)</x:f>
      </x:c>
      <x:c r="F988" s="44" t="str">
        <x:f>IF(OR(C988="",D988="",C987=""),"",(C988-C987)/60)</x:f>
      </x:c>
      <x:c r="G988" s="44" t="str">
        <x:f>IF(D988="","",EXP(-Configuracion!$B$4/Configuracion!$B$5*(1/AVERAGE(E987:E988)-1/(Configuracion!$B$3+273.15))))</x:f>
      </x:c>
      <x:c r="H988" s="44" t="str">
        <x:f>IF(D988="","",F988*G988)</x:f>
      </x:c>
      <x:c r="I988" s="44" t="str">
        <x:f>IF(D988="","",I987+H988)</x:f>
      </x:c>
      <x:c r="J988" s="46" t="str">
        <x:f>IF(D988="","",MIN(1,I988/Configuracion!$B$11))</x:f>
      </x:c>
      <x:c r="K988" s="48" t="str">
        <x:f>IF(D988="","",MAX(0,(Configuracion!$B$11-I988)/G988))</x:f>
      </x:c>
      <x:c r="L988" s="73" t="str">
        <x:f>IF(D988="","",C988+K988*60)</x:f>
      </x:c>
      <x:c r="M988" t="str">
        <x:f>IF(D988="","",IF(J988&gt;=Configuracion!$B$13,"DESLIZAR",IF(J988&gt;=Configuracion!$B$12,"PREPARARSE","NO DESLIZAR")))</x:f>
      </x:c>
      <x:c r="N988" s="41" t="str">
        <x:f>IF(D988="","",D988-$D$8)</x:f>
      </x:c>
      <x:c r="O988" s="46" t="str">
        <x:f>IF(D988="","",MAX(0,MIN(1,N988/Configuracion!$B$10)))</x:f>
      </x:c>
    </x:row>
    <x:row r="989">
      <x:c r="A989" s="34"/>
      <x:c r="B989" s="36"/>
      <x:c r="C989" s="72"/>
      <x:c r="D989" s="71"/>
      <x:c r="E989" s="41" t="str">
        <x:f>IF(D989="","",D989+273.15)</x:f>
      </x:c>
      <x:c r="F989" s="44" t="str">
        <x:f>IF(OR(C989="",D989="",C988=""),"",(C989-C988)/60)</x:f>
      </x:c>
      <x:c r="G989" s="44" t="str">
        <x:f>IF(D989="","",EXP(-Configuracion!$B$4/Configuracion!$B$5*(1/AVERAGE(E988:E989)-1/(Configuracion!$B$3+273.15))))</x:f>
      </x:c>
      <x:c r="H989" s="44" t="str">
        <x:f>IF(D989="","",F989*G989)</x:f>
      </x:c>
      <x:c r="I989" s="44" t="str">
        <x:f>IF(D989="","",I988+H989)</x:f>
      </x:c>
      <x:c r="J989" s="46" t="str">
        <x:f>IF(D989="","",MIN(1,I989/Configuracion!$B$11))</x:f>
      </x:c>
      <x:c r="K989" s="48" t="str">
        <x:f>IF(D989="","",MAX(0,(Configuracion!$B$11-I989)/G989))</x:f>
      </x:c>
      <x:c r="L989" s="73" t="str">
        <x:f>IF(D989="","",C989+K989*60)</x:f>
      </x:c>
      <x:c r="M989" t="str">
        <x:f>IF(D989="","",IF(J989&gt;=Configuracion!$B$13,"DESLIZAR",IF(J989&gt;=Configuracion!$B$12,"PREPARARSE","NO DESLIZAR")))</x:f>
      </x:c>
      <x:c r="N989" s="41" t="str">
        <x:f>IF(D989="","",D989-$D$8)</x:f>
      </x:c>
      <x:c r="O989" s="46" t="str">
        <x:f>IF(D989="","",MAX(0,MIN(1,N989/Configuracion!$B$10)))</x:f>
      </x:c>
    </x:row>
    <x:row r="990">
      <x:c r="A990" s="34"/>
      <x:c r="B990" s="36"/>
      <x:c r="C990" s="72"/>
      <x:c r="D990" s="71"/>
      <x:c r="E990" s="41" t="str">
        <x:f>IF(D990="","",D990+273.15)</x:f>
      </x:c>
      <x:c r="F990" s="44" t="str">
        <x:f>IF(OR(C990="",D990="",C989=""),"",(C990-C989)/60)</x:f>
      </x:c>
      <x:c r="G990" s="44" t="str">
        <x:f>IF(D990="","",EXP(-Configuracion!$B$4/Configuracion!$B$5*(1/AVERAGE(E989:E990)-1/(Configuracion!$B$3+273.15))))</x:f>
      </x:c>
      <x:c r="H990" s="44" t="str">
        <x:f>IF(D990="","",F990*G990)</x:f>
      </x:c>
      <x:c r="I990" s="44" t="str">
        <x:f>IF(D990="","",I989+H990)</x:f>
      </x:c>
      <x:c r="J990" s="46" t="str">
        <x:f>IF(D990="","",MIN(1,I990/Configuracion!$B$11))</x:f>
      </x:c>
      <x:c r="K990" s="48" t="str">
        <x:f>IF(D990="","",MAX(0,(Configuracion!$B$11-I990)/G990))</x:f>
      </x:c>
      <x:c r="L990" s="73" t="str">
        <x:f>IF(D990="","",C990+K990*60)</x:f>
      </x:c>
      <x:c r="M990" t="str">
        <x:f>IF(D990="","",IF(J990&gt;=Configuracion!$B$13,"DESLIZAR",IF(J990&gt;=Configuracion!$B$12,"PREPARARSE","NO DESLIZAR")))</x:f>
      </x:c>
      <x:c r="N990" s="41" t="str">
        <x:f>IF(D990="","",D990-$D$8)</x:f>
      </x:c>
      <x:c r="O990" s="46" t="str">
        <x:f>IF(D990="","",MAX(0,MIN(1,N990/Configuracion!$B$10)))</x:f>
      </x:c>
    </x:row>
    <x:row r="991">
      <x:c r="A991" s="34"/>
      <x:c r="B991" s="36"/>
      <x:c r="C991" s="72"/>
      <x:c r="D991" s="71"/>
      <x:c r="E991" s="41" t="str">
        <x:f>IF(D991="","",D991+273.15)</x:f>
      </x:c>
      <x:c r="F991" s="44" t="str">
        <x:f>IF(OR(C991="",D991="",C990=""),"",(C991-C990)/60)</x:f>
      </x:c>
      <x:c r="G991" s="44" t="str">
        <x:f>IF(D991="","",EXP(-Configuracion!$B$4/Configuracion!$B$5*(1/AVERAGE(E990:E991)-1/(Configuracion!$B$3+273.15))))</x:f>
      </x:c>
      <x:c r="H991" s="44" t="str">
        <x:f>IF(D991="","",F991*G991)</x:f>
      </x:c>
      <x:c r="I991" s="44" t="str">
        <x:f>IF(D991="","",I990+H991)</x:f>
      </x:c>
      <x:c r="J991" s="46" t="str">
        <x:f>IF(D991="","",MIN(1,I991/Configuracion!$B$11))</x:f>
      </x:c>
      <x:c r="K991" s="48" t="str">
        <x:f>IF(D991="","",MAX(0,(Configuracion!$B$11-I991)/G991))</x:f>
      </x:c>
      <x:c r="L991" s="73" t="str">
        <x:f>IF(D991="","",C991+K991*60)</x:f>
      </x:c>
      <x:c r="M991" t="str">
        <x:f>IF(D991="","",IF(J991&gt;=Configuracion!$B$13,"DESLIZAR",IF(J991&gt;=Configuracion!$B$12,"PREPARARSE","NO DESLIZAR")))</x:f>
      </x:c>
      <x:c r="N991" s="41" t="str">
        <x:f>IF(D991="","",D991-$D$8)</x:f>
      </x:c>
      <x:c r="O991" s="46" t="str">
        <x:f>IF(D991="","",MAX(0,MIN(1,N991/Configuracion!$B$10)))</x:f>
      </x:c>
    </x:row>
    <x:row r="992">
      <x:c r="A992" s="34"/>
      <x:c r="B992" s="36"/>
      <x:c r="C992" s="72"/>
      <x:c r="D992" s="71"/>
      <x:c r="E992" s="41" t="str">
        <x:f>IF(D992="","",D992+273.15)</x:f>
      </x:c>
      <x:c r="F992" s="44" t="str">
        <x:f>IF(OR(C992="",D992="",C991=""),"",(C992-C991)/60)</x:f>
      </x:c>
      <x:c r="G992" s="44" t="str">
        <x:f>IF(D992="","",EXP(-Configuracion!$B$4/Configuracion!$B$5*(1/AVERAGE(E991:E992)-1/(Configuracion!$B$3+273.15))))</x:f>
      </x:c>
      <x:c r="H992" s="44" t="str">
        <x:f>IF(D992="","",F992*G992)</x:f>
      </x:c>
      <x:c r="I992" s="44" t="str">
        <x:f>IF(D992="","",I991+H992)</x:f>
      </x:c>
      <x:c r="J992" s="46" t="str">
        <x:f>IF(D992="","",MIN(1,I992/Configuracion!$B$11))</x:f>
      </x:c>
      <x:c r="K992" s="48" t="str">
        <x:f>IF(D992="","",MAX(0,(Configuracion!$B$11-I992)/G992))</x:f>
      </x:c>
      <x:c r="L992" s="73" t="str">
        <x:f>IF(D992="","",C992+K992*60)</x:f>
      </x:c>
      <x:c r="M992" t="str">
        <x:f>IF(D992="","",IF(J992&gt;=Configuracion!$B$13,"DESLIZAR",IF(J992&gt;=Configuracion!$B$12,"PREPARARSE","NO DESLIZAR")))</x:f>
      </x:c>
      <x:c r="N992" s="41" t="str">
        <x:f>IF(D992="","",D992-$D$8)</x:f>
      </x:c>
      <x:c r="O992" s="46" t="str">
        <x:f>IF(D992="","",MAX(0,MIN(1,N992/Configuracion!$B$10)))</x:f>
      </x:c>
    </x:row>
    <x:row r="993">
      <x:c r="A993" s="34"/>
      <x:c r="B993" s="36"/>
      <x:c r="C993" s="72"/>
      <x:c r="D993" s="71"/>
      <x:c r="E993" s="41" t="str">
        <x:f>IF(D993="","",D993+273.15)</x:f>
      </x:c>
      <x:c r="F993" s="44" t="str">
        <x:f>IF(OR(C993="",D993="",C992=""),"",(C993-C992)/60)</x:f>
      </x:c>
      <x:c r="G993" s="44" t="str">
        <x:f>IF(D993="","",EXP(-Configuracion!$B$4/Configuracion!$B$5*(1/AVERAGE(E992:E993)-1/(Configuracion!$B$3+273.15))))</x:f>
      </x:c>
      <x:c r="H993" s="44" t="str">
        <x:f>IF(D993="","",F993*G993)</x:f>
      </x:c>
      <x:c r="I993" s="44" t="str">
        <x:f>IF(D993="","",I992+H993)</x:f>
      </x:c>
      <x:c r="J993" s="46" t="str">
        <x:f>IF(D993="","",MIN(1,I993/Configuracion!$B$11))</x:f>
      </x:c>
      <x:c r="K993" s="48" t="str">
        <x:f>IF(D993="","",MAX(0,(Configuracion!$B$11-I993)/G993))</x:f>
      </x:c>
      <x:c r="L993" s="73" t="str">
        <x:f>IF(D993="","",C993+K993*60)</x:f>
      </x:c>
      <x:c r="M993" t="str">
        <x:f>IF(D993="","",IF(J993&gt;=Configuracion!$B$13,"DESLIZAR",IF(J993&gt;=Configuracion!$B$12,"PREPARARSE","NO DESLIZAR")))</x:f>
      </x:c>
      <x:c r="N993" s="41" t="str">
        <x:f>IF(D993="","",D993-$D$8)</x:f>
      </x:c>
      <x:c r="O993" s="46" t="str">
        <x:f>IF(D993="","",MAX(0,MIN(1,N993/Configuracion!$B$10)))</x:f>
      </x:c>
    </x:row>
    <x:row r="994">
      <x:c r="A994" s="34"/>
      <x:c r="B994" s="36"/>
      <x:c r="C994" s="72"/>
      <x:c r="D994" s="71"/>
      <x:c r="E994" s="41" t="str">
        <x:f>IF(D994="","",D994+273.15)</x:f>
      </x:c>
      <x:c r="F994" s="44" t="str">
        <x:f>IF(OR(C994="",D994="",C993=""),"",(C994-C993)/60)</x:f>
      </x:c>
      <x:c r="G994" s="44" t="str">
        <x:f>IF(D994="","",EXP(-Configuracion!$B$4/Configuracion!$B$5*(1/AVERAGE(E993:E994)-1/(Configuracion!$B$3+273.15))))</x:f>
      </x:c>
      <x:c r="H994" s="44" t="str">
        <x:f>IF(D994="","",F994*G994)</x:f>
      </x:c>
      <x:c r="I994" s="44" t="str">
        <x:f>IF(D994="","",I993+H994)</x:f>
      </x:c>
      <x:c r="J994" s="46" t="str">
        <x:f>IF(D994="","",MIN(1,I994/Configuracion!$B$11))</x:f>
      </x:c>
      <x:c r="K994" s="48" t="str">
        <x:f>IF(D994="","",MAX(0,(Configuracion!$B$11-I994)/G994))</x:f>
      </x:c>
      <x:c r="L994" s="73" t="str">
        <x:f>IF(D994="","",C994+K994*60)</x:f>
      </x:c>
      <x:c r="M994" t="str">
        <x:f>IF(D994="","",IF(J994&gt;=Configuracion!$B$13,"DESLIZAR",IF(J994&gt;=Configuracion!$B$12,"PREPARARSE","NO DESLIZAR")))</x:f>
      </x:c>
      <x:c r="N994" s="41" t="str">
        <x:f>IF(D994="","",D994-$D$8)</x:f>
      </x:c>
      <x:c r="O994" s="46" t="str">
        <x:f>IF(D994="","",MAX(0,MIN(1,N994/Configuracion!$B$10)))</x:f>
      </x:c>
    </x:row>
    <x:row r="995">
      <x:c r="A995" s="34"/>
      <x:c r="B995" s="36"/>
      <x:c r="C995" s="72"/>
      <x:c r="D995" s="71"/>
      <x:c r="E995" s="41" t="str">
        <x:f>IF(D995="","",D995+273.15)</x:f>
      </x:c>
      <x:c r="F995" s="44" t="str">
        <x:f>IF(OR(C995="",D995="",C994=""),"",(C995-C994)/60)</x:f>
      </x:c>
      <x:c r="G995" s="44" t="str">
        <x:f>IF(D995="","",EXP(-Configuracion!$B$4/Configuracion!$B$5*(1/AVERAGE(E994:E995)-1/(Configuracion!$B$3+273.15))))</x:f>
      </x:c>
      <x:c r="H995" s="44" t="str">
        <x:f>IF(D995="","",F995*G995)</x:f>
      </x:c>
      <x:c r="I995" s="44" t="str">
        <x:f>IF(D995="","",I994+H995)</x:f>
      </x:c>
      <x:c r="J995" s="46" t="str">
        <x:f>IF(D995="","",MIN(1,I995/Configuracion!$B$11))</x:f>
      </x:c>
      <x:c r="K995" s="48" t="str">
        <x:f>IF(D995="","",MAX(0,(Configuracion!$B$11-I995)/G995))</x:f>
      </x:c>
      <x:c r="L995" s="73" t="str">
        <x:f>IF(D995="","",C995+K995*60)</x:f>
      </x:c>
      <x:c r="M995" t="str">
        <x:f>IF(D995="","",IF(J995&gt;=Configuracion!$B$13,"DESLIZAR",IF(J995&gt;=Configuracion!$B$12,"PREPARARSE","NO DESLIZAR")))</x:f>
      </x:c>
      <x:c r="N995" s="41" t="str">
        <x:f>IF(D995="","",D995-$D$8)</x:f>
      </x:c>
      <x:c r="O995" s="46" t="str">
        <x:f>IF(D995="","",MAX(0,MIN(1,N995/Configuracion!$B$10)))</x:f>
      </x:c>
    </x:row>
    <x:row r="996">
      <x:c r="A996" s="34"/>
      <x:c r="B996" s="36"/>
      <x:c r="C996" s="72"/>
      <x:c r="D996" s="71"/>
      <x:c r="E996" s="41" t="str">
        <x:f>IF(D996="","",D996+273.15)</x:f>
      </x:c>
      <x:c r="F996" s="44" t="str">
        <x:f>IF(OR(C996="",D996="",C995=""),"",(C996-C995)/60)</x:f>
      </x:c>
      <x:c r="G996" s="44" t="str">
        <x:f>IF(D996="","",EXP(-Configuracion!$B$4/Configuracion!$B$5*(1/AVERAGE(E995:E996)-1/(Configuracion!$B$3+273.15))))</x:f>
      </x:c>
      <x:c r="H996" s="44" t="str">
        <x:f>IF(D996="","",F996*G996)</x:f>
      </x:c>
      <x:c r="I996" s="44" t="str">
        <x:f>IF(D996="","",I995+H996)</x:f>
      </x:c>
      <x:c r="J996" s="46" t="str">
        <x:f>IF(D996="","",MIN(1,I996/Configuracion!$B$11))</x:f>
      </x:c>
      <x:c r="K996" s="48" t="str">
        <x:f>IF(D996="","",MAX(0,(Configuracion!$B$11-I996)/G996))</x:f>
      </x:c>
      <x:c r="L996" s="73" t="str">
        <x:f>IF(D996="","",C996+K996*60)</x:f>
      </x:c>
      <x:c r="M996" t="str">
        <x:f>IF(D996="","",IF(J996&gt;=Configuracion!$B$13,"DESLIZAR",IF(J996&gt;=Configuracion!$B$12,"PREPARARSE","NO DESLIZAR")))</x:f>
      </x:c>
      <x:c r="N996" s="41" t="str">
        <x:f>IF(D996="","",D996-$D$8)</x:f>
      </x:c>
      <x:c r="O996" s="46" t="str">
        <x:f>IF(D996="","",MAX(0,MIN(1,N996/Configuracion!$B$10)))</x:f>
      </x:c>
    </x:row>
    <x:row r="997">
      <x:c r="A997" s="34"/>
      <x:c r="B997" s="36"/>
      <x:c r="C997" s="72"/>
      <x:c r="D997" s="71"/>
      <x:c r="E997" s="41" t="str">
        <x:f>IF(D997="","",D997+273.15)</x:f>
      </x:c>
      <x:c r="F997" s="44" t="str">
        <x:f>IF(OR(C997="",D997="",C996=""),"",(C997-C996)/60)</x:f>
      </x:c>
      <x:c r="G997" s="44" t="str">
        <x:f>IF(D997="","",EXP(-Configuracion!$B$4/Configuracion!$B$5*(1/AVERAGE(E996:E997)-1/(Configuracion!$B$3+273.15))))</x:f>
      </x:c>
      <x:c r="H997" s="44" t="str">
        <x:f>IF(D997="","",F997*G997)</x:f>
      </x:c>
      <x:c r="I997" s="44" t="str">
        <x:f>IF(D997="","",I996+H997)</x:f>
      </x:c>
      <x:c r="J997" s="46" t="str">
        <x:f>IF(D997="","",MIN(1,I997/Configuracion!$B$11))</x:f>
      </x:c>
      <x:c r="K997" s="48" t="str">
        <x:f>IF(D997="","",MAX(0,(Configuracion!$B$11-I997)/G997))</x:f>
      </x:c>
      <x:c r="L997" s="73" t="str">
        <x:f>IF(D997="","",C997+K997*60)</x:f>
      </x:c>
      <x:c r="M997" t="str">
        <x:f>IF(D997="","",IF(J997&gt;=Configuracion!$B$13,"DESLIZAR",IF(J997&gt;=Configuracion!$B$12,"PREPARARSE","NO DESLIZAR")))</x:f>
      </x:c>
      <x:c r="N997" s="41" t="str">
        <x:f>IF(D997="","",D997-$D$8)</x:f>
      </x:c>
      <x:c r="O997" s="46" t="str">
        <x:f>IF(D997="","",MAX(0,MIN(1,N997/Configuracion!$B$10)))</x:f>
      </x:c>
    </x:row>
    <x:row r="998">
      <x:c r="A998" s="34"/>
      <x:c r="B998" s="36"/>
      <x:c r="C998" s="72"/>
      <x:c r="D998" s="71"/>
      <x:c r="E998" s="41" t="str">
        <x:f>IF(D998="","",D998+273.15)</x:f>
      </x:c>
      <x:c r="F998" s="44" t="str">
        <x:f>IF(OR(C998="",D998="",C997=""),"",(C998-C997)/60)</x:f>
      </x:c>
      <x:c r="G998" s="44" t="str">
        <x:f>IF(D998="","",EXP(-Configuracion!$B$4/Configuracion!$B$5*(1/AVERAGE(E997:E998)-1/(Configuracion!$B$3+273.15))))</x:f>
      </x:c>
      <x:c r="H998" s="44" t="str">
        <x:f>IF(D998="","",F998*G998)</x:f>
      </x:c>
      <x:c r="I998" s="44" t="str">
        <x:f>IF(D998="","",I997+H998)</x:f>
      </x:c>
      <x:c r="J998" s="46" t="str">
        <x:f>IF(D998="","",MIN(1,I998/Configuracion!$B$11))</x:f>
      </x:c>
      <x:c r="K998" s="48" t="str">
        <x:f>IF(D998="","",MAX(0,(Configuracion!$B$11-I998)/G998))</x:f>
      </x:c>
      <x:c r="L998" s="73" t="str">
        <x:f>IF(D998="","",C998+K998*60)</x:f>
      </x:c>
      <x:c r="M998" t="str">
        <x:f>IF(D998="","",IF(J998&gt;=Configuracion!$B$13,"DESLIZAR",IF(J998&gt;=Configuracion!$B$12,"PREPARARSE","NO DESLIZAR")))</x:f>
      </x:c>
      <x:c r="N998" s="41" t="str">
        <x:f>IF(D998="","",D998-$D$8)</x:f>
      </x:c>
      <x:c r="O998" s="46" t="str">
        <x:f>IF(D998="","",MAX(0,MIN(1,N998/Configuracion!$B$10)))</x:f>
      </x:c>
    </x:row>
    <x:row r="999">
      <x:c r="A999" s="34"/>
      <x:c r="B999" s="36"/>
      <x:c r="C999" s="72"/>
      <x:c r="D999" s="71"/>
      <x:c r="E999" s="41" t="str">
        <x:f>IF(D999="","",D999+273.15)</x:f>
      </x:c>
      <x:c r="F999" s="44" t="str">
        <x:f>IF(OR(C999="",D999="",C998=""),"",(C999-C998)/60)</x:f>
      </x:c>
      <x:c r="G999" s="44" t="str">
        <x:f>IF(D999="","",EXP(-Configuracion!$B$4/Configuracion!$B$5*(1/AVERAGE(E998:E999)-1/(Configuracion!$B$3+273.15))))</x:f>
      </x:c>
      <x:c r="H999" s="44" t="str">
        <x:f>IF(D999="","",F999*G999)</x:f>
      </x:c>
      <x:c r="I999" s="44" t="str">
        <x:f>IF(D999="","",I998+H999)</x:f>
      </x:c>
      <x:c r="J999" s="46" t="str">
        <x:f>IF(D999="","",MIN(1,I999/Configuracion!$B$11))</x:f>
      </x:c>
      <x:c r="K999" s="48" t="str">
        <x:f>IF(D999="","",MAX(0,(Configuracion!$B$11-I999)/G999))</x:f>
      </x:c>
      <x:c r="L999" s="73" t="str">
        <x:f>IF(D999="","",C999+K999*60)</x:f>
      </x:c>
      <x:c r="M999" t="str">
        <x:f>IF(D999="","",IF(J999&gt;=Configuracion!$B$13,"DESLIZAR",IF(J999&gt;=Configuracion!$B$12,"PREPARARSE","NO DESLIZAR")))</x:f>
      </x:c>
      <x:c r="N999" s="41" t="str">
        <x:f>IF(D999="","",D999-$D$8)</x:f>
      </x:c>
      <x:c r="O999" s="46" t="str">
        <x:f>IF(D999="","",MAX(0,MIN(1,N999/Configuracion!$B$10)))</x:f>
      </x:c>
    </x:row>
    <x:row r="1000">
      <x:c r="A1000" s="34"/>
      <x:c r="B1000" s="36"/>
      <x:c r="C1000" s="72"/>
      <x:c r="D1000" s="71"/>
      <x:c r="E1000" s="41" t="str">
        <x:f>IF(D1000="","",D1000+273.15)</x:f>
      </x:c>
      <x:c r="F1000" s="44" t="str">
        <x:f>IF(OR(C1000="",D1000="",C999=""),"",(C1000-C999)/60)</x:f>
      </x:c>
      <x:c r="G1000" s="44" t="str">
        <x:f>IF(D1000="","",EXP(-Configuracion!$B$4/Configuracion!$B$5*(1/AVERAGE(E999:E1000)-1/(Configuracion!$B$3+273.15))))</x:f>
      </x:c>
      <x:c r="H1000" s="44" t="str">
        <x:f>IF(D1000="","",F1000*G1000)</x:f>
      </x:c>
      <x:c r="I1000" s="44" t="str">
        <x:f>IF(D1000="","",I999+H1000)</x:f>
      </x:c>
      <x:c r="J1000" s="46" t="str">
        <x:f>IF(D1000="","",MIN(1,I1000/Configuracion!$B$11))</x:f>
      </x:c>
      <x:c r="K1000" s="48" t="str">
        <x:f>IF(D1000="","",MAX(0,(Configuracion!$B$11-I1000)/G1000))</x:f>
      </x:c>
      <x:c r="L1000" s="73" t="str">
        <x:f>IF(D1000="","",C1000+K1000*60)</x:f>
      </x:c>
      <x:c r="M1000" t="str">
        <x:f>IF(D1000="","",IF(J1000&gt;=Configuracion!$B$13,"DESLIZAR",IF(J1000&gt;=Configuracion!$B$12,"PREPARARSE","NO DESLIZAR")))</x:f>
      </x:c>
      <x:c r="N1000" s="41" t="str">
        <x:f>IF(D1000="","",D1000-$D$8)</x:f>
      </x:c>
      <x:c r="O1000" s="46" t="str">
        <x:f>IF(D1000="","",MAX(0,MIN(1,N1000/Configuracion!$B$10)))</x:f>
      </x:c>
    </x:row>
    <x:row r="1001">
      <x:c r="A1001" s="34"/>
      <x:c r="B1001" s="36"/>
      <x:c r="C1001" s="72"/>
      <x:c r="D1001" s="71"/>
      <x:c r="E1001" s="41" t="str">
        <x:f>IF(D1001="","",D1001+273.15)</x:f>
      </x:c>
      <x:c r="F1001" s="44" t="str">
        <x:f>IF(OR(C1001="",D1001="",C1000=""),"",(C1001-C1000)/60)</x:f>
      </x:c>
      <x:c r="G1001" s="44" t="str">
        <x:f>IF(D1001="","",EXP(-Configuracion!$B$4/Configuracion!$B$5*(1/AVERAGE(E1000:E1001)-1/(Configuracion!$B$3+273.15))))</x:f>
      </x:c>
      <x:c r="H1001" s="44" t="str">
        <x:f>IF(D1001="","",F1001*G1001)</x:f>
      </x:c>
      <x:c r="I1001" s="44" t="str">
        <x:f>IF(D1001="","",I1000+H1001)</x:f>
      </x:c>
      <x:c r="J1001" s="46" t="str">
        <x:f>IF(D1001="","",MIN(1,I1001/Configuracion!$B$11))</x:f>
      </x:c>
      <x:c r="K1001" s="48" t="str">
        <x:f>IF(D1001="","",MAX(0,(Configuracion!$B$11-I1001)/G1001))</x:f>
      </x:c>
      <x:c r="L1001" s="73" t="str">
        <x:f>IF(D1001="","",C1001+K1001*60)</x:f>
      </x:c>
      <x:c r="M1001" t="str">
        <x:f>IF(D1001="","",IF(J1001&gt;=Configuracion!$B$13,"DESLIZAR",IF(J1001&gt;=Configuracion!$B$12,"PREPARARSE","NO DESLIZAR")))</x:f>
      </x:c>
      <x:c r="N1001" s="41" t="str">
        <x:f>IF(D1001="","",D1001-$D$8)</x:f>
      </x:c>
      <x:c r="O1001" s="46" t="str">
        <x:f>IF(D1001="","",MAX(0,MIN(1,N1001/Configuracion!$B$10)))</x:f>
      </x:c>
    </x:row>
    <x:row r="1002">
      <x:c r="A1002" s="34"/>
      <x:c r="B1002" s="36"/>
      <x:c r="C1002" s="72"/>
      <x:c r="D1002" s="71"/>
      <x:c r="E1002" s="41" t="str">
        <x:f>IF(D1002="","",D1002+273.15)</x:f>
      </x:c>
      <x:c r="F1002" s="44" t="str">
        <x:f>IF(OR(C1002="",D1002="",C1001=""),"",(C1002-C1001)/60)</x:f>
      </x:c>
      <x:c r="G1002" s="44" t="str">
        <x:f>IF(D1002="","",EXP(-Configuracion!$B$4/Configuracion!$B$5*(1/AVERAGE(E1001:E1002)-1/(Configuracion!$B$3+273.15))))</x:f>
      </x:c>
      <x:c r="H1002" s="44" t="str">
        <x:f>IF(D1002="","",F1002*G1002)</x:f>
      </x:c>
      <x:c r="I1002" s="44" t="str">
        <x:f>IF(D1002="","",I1001+H1002)</x:f>
      </x:c>
      <x:c r="J1002" s="46" t="str">
        <x:f>IF(D1002="","",MIN(1,I1002/Configuracion!$B$11))</x:f>
      </x:c>
      <x:c r="K1002" s="48" t="str">
        <x:f>IF(D1002="","",MAX(0,(Configuracion!$B$11-I1002)/G1002))</x:f>
      </x:c>
      <x:c r="L1002" s="73" t="str">
        <x:f>IF(D1002="","",C1002+K1002*60)</x:f>
      </x:c>
      <x:c r="M1002" t="str">
        <x:f>IF(D1002="","",IF(J1002&gt;=Configuracion!$B$13,"DESLIZAR",IF(J1002&gt;=Configuracion!$B$12,"PREPARARSE","NO DESLIZAR")))</x:f>
      </x:c>
      <x:c r="N1002" s="41" t="str">
        <x:f>IF(D1002="","",D1002-$D$8)</x:f>
      </x:c>
      <x:c r="O1002" s="46" t="str">
        <x:f>IF(D1002="","",MAX(0,MIN(1,N1002/Configuracion!$B$10)))</x:f>
      </x:c>
    </x:row>
    <x:row r="1003">
      <x:c r="A1003" s="34"/>
      <x:c r="B1003" s="36"/>
      <x:c r="C1003" s="72"/>
      <x:c r="D1003" s="71"/>
      <x:c r="E1003" s="41" t="str">
        <x:f>IF(D1003="","",D1003+273.15)</x:f>
      </x:c>
      <x:c r="F1003" s="44" t="str">
        <x:f>IF(OR(C1003="",D1003="",C1002=""),"",(C1003-C1002)/60)</x:f>
      </x:c>
      <x:c r="G1003" s="44" t="str">
        <x:f>IF(D1003="","",EXP(-Configuracion!$B$4/Configuracion!$B$5*(1/AVERAGE(E1002:E1003)-1/(Configuracion!$B$3+273.15))))</x:f>
      </x:c>
      <x:c r="H1003" s="44" t="str">
        <x:f>IF(D1003="","",F1003*G1003)</x:f>
      </x:c>
      <x:c r="I1003" s="44" t="str">
        <x:f>IF(D1003="","",I1002+H1003)</x:f>
      </x:c>
      <x:c r="J1003" s="46" t="str">
        <x:f>IF(D1003="","",MIN(1,I1003/Configuracion!$B$11))</x:f>
      </x:c>
      <x:c r="K1003" s="48" t="str">
        <x:f>IF(D1003="","",MAX(0,(Configuracion!$B$11-I1003)/G1003))</x:f>
      </x:c>
      <x:c r="L1003" s="73" t="str">
        <x:f>IF(D1003="","",C1003+K1003*60)</x:f>
      </x:c>
      <x:c r="M1003" t="str">
        <x:f>IF(D1003="","",IF(J1003&gt;=Configuracion!$B$13,"DESLIZAR",IF(J1003&gt;=Configuracion!$B$12,"PREPARARSE","NO DESLIZAR")))</x:f>
      </x:c>
      <x:c r="N1003" s="41" t="str">
        <x:f>IF(D1003="","",D1003-$D$8)</x:f>
      </x:c>
      <x:c r="O1003" s="46" t="str">
        <x:f>IF(D1003="","",MAX(0,MIN(1,N1003/Configuracion!$B$10)))</x:f>
      </x:c>
    </x:row>
    <x:row r="1004">
      <x:c r="A1004" s="34"/>
      <x:c r="B1004" s="36"/>
      <x:c r="C1004" s="72"/>
      <x:c r="D1004" s="71"/>
      <x:c r="E1004" s="41" t="str">
        <x:f>IF(D1004="","",D1004+273.15)</x:f>
      </x:c>
      <x:c r="F1004" s="44" t="str">
        <x:f>IF(OR(C1004="",D1004="",C1003=""),"",(C1004-C1003)/60)</x:f>
      </x:c>
      <x:c r="G1004" s="44" t="str">
        <x:f>IF(D1004="","",EXP(-Configuracion!$B$4/Configuracion!$B$5*(1/AVERAGE(E1003:E1004)-1/(Configuracion!$B$3+273.15))))</x:f>
      </x:c>
      <x:c r="H1004" s="44" t="str">
        <x:f>IF(D1004="","",F1004*G1004)</x:f>
      </x:c>
      <x:c r="I1004" s="44" t="str">
        <x:f>IF(D1004="","",I1003+H1004)</x:f>
      </x:c>
      <x:c r="J1004" s="46" t="str">
        <x:f>IF(D1004="","",MIN(1,I1004/Configuracion!$B$11))</x:f>
      </x:c>
      <x:c r="K1004" s="48" t="str">
        <x:f>IF(D1004="","",MAX(0,(Configuracion!$B$11-I1004)/G1004))</x:f>
      </x:c>
      <x:c r="L1004" s="73" t="str">
        <x:f>IF(D1004="","",C1004+K1004*60)</x:f>
      </x:c>
      <x:c r="M1004" t="str">
        <x:f>IF(D1004="","",IF(J1004&gt;=Configuracion!$B$13,"DESLIZAR",IF(J1004&gt;=Configuracion!$B$12,"PREPARARSE","NO DESLIZAR")))</x:f>
      </x:c>
      <x:c r="N1004" s="41" t="str">
        <x:f>IF(D1004="","",D1004-$D$8)</x:f>
      </x:c>
      <x:c r="O1004" s="46" t="str">
        <x:f>IF(D1004="","",MAX(0,MIN(1,N1004/Configuracion!$B$10)))</x:f>
      </x:c>
    </x:row>
    <x:row r="1005">
      <x:c r="A1005" s="34"/>
      <x:c r="B1005" s="36"/>
      <x:c r="C1005" s="72"/>
      <x:c r="D1005" s="71"/>
      <x:c r="E1005" s="41" t="str">
        <x:f>IF(D1005="","",D1005+273.15)</x:f>
      </x:c>
      <x:c r="F1005" s="44" t="str">
        <x:f>IF(OR(C1005="",D1005="",C1004=""),"",(C1005-C1004)/60)</x:f>
      </x:c>
      <x:c r="G1005" s="44" t="str">
        <x:f>IF(D1005="","",EXP(-Configuracion!$B$4/Configuracion!$B$5*(1/AVERAGE(E1004:E1005)-1/(Configuracion!$B$3+273.15))))</x:f>
      </x:c>
      <x:c r="H1005" s="44" t="str">
        <x:f>IF(D1005="","",F1005*G1005)</x:f>
      </x:c>
      <x:c r="I1005" s="44" t="str">
        <x:f>IF(D1005="","",I1004+H1005)</x:f>
      </x:c>
      <x:c r="J1005" s="46" t="str">
        <x:f>IF(D1005="","",MIN(1,I1005/Configuracion!$B$11))</x:f>
      </x:c>
      <x:c r="K1005" s="48" t="str">
        <x:f>IF(D1005="","",MAX(0,(Configuracion!$B$11-I1005)/G1005))</x:f>
      </x:c>
      <x:c r="L1005" s="73" t="str">
        <x:f>IF(D1005="","",C1005+K1005*60)</x:f>
      </x:c>
      <x:c r="M1005" t="str">
        <x:f>IF(D1005="","",IF(J1005&gt;=Configuracion!$B$13,"DESLIZAR",IF(J1005&gt;=Configuracion!$B$12,"PREPARARSE","NO DESLIZAR")))</x:f>
      </x:c>
      <x:c r="N1005" s="41" t="str">
        <x:f>IF(D1005="","",D1005-$D$8)</x:f>
      </x:c>
      <x:c r="O1005" s="46" t="str">
        <x:f>IF(D1005="","",MAX(0,MIN(1,N1005/Configuracion!$B$10)))</x:f>
      </x:c>
    </x:row>
    <x:row r="1006">
      <x:c r="A1006" s="34"/>
      <x:c r="B1006" s="36"/>
      <x:c r="C1006" s="72"/>
      <x:c r="D1006" s="71"/>
      <x:c r="E1006" s="41" t="str">
        <x:f>IF(D1006="","",D1006+273.15)</x:f>
      </x:c>
      <x:c r="F1006" s="44" t="str">
        <x:f>IF(OR(C1006="",D1006="",C1005=""),"",(C1006-C1005)/60)</x:f>
      </x:c>
      <x:c r="G1006" s="44" t="str">
        <x:f>IF(D1006="","",EXP(-Configuracion!$B$4/Configuracion!$B$5*(1/AVERAGE(E1005:E1006)-1/(Configuracion!$B$3+273.15))))</x:f>
      </x:c>
      <x:c r="H1006" s="44" t="str">
        <x:f>IF(D1006="","",F1006*G1006)</x:f>
      </x:c>
      <x:c r="I1006" s="44" t="str">
        <x:f>IF(D1006="","",I1005+H1006)</x:f>
      </x:c>
      <x:c r="J1006" s="46" t="str">
        <x:f>IF(D1006="","",MIN(1,I1006/Configuracion!$B$11))</x:f>
      </x:c>
      <x:c r="K1006" s="48" t="str">
        <x:f>IF(D1006="","",MAX(0,(Configuracion!$B$11-I1006)/G1006))</x:f>
      </x:c>
      <x:c r="L1006" s="73" t="str">
        <x:f>IF(D1006="","",C1006+K1006*60)</x:f>
      </x:c>
      <x:c r="M1006" t="str">
        <x:f>IF(D1006="","",IF(J1006&gt;=Configuracion!$B$13,"DESLIZAR",IF(J1006&gt;=Configuracion!$B$12,"PREPARARSE","NO DESLIZAR")))</x:f>
      </x:c>
      <x:c r="N1006" s="41" t="str">
        <x:f>IF(D1006="","",D1006-$D$8)</x:f>
      </x:c>
      <x:c r="O1006" s="46" t="str">
        <x:f>IF(D1006="","",MAX(0,MIN(1,N1006/Configuracion!$B$10)))</x:f>
      </x:c>
    </x:row>
    <x:row r="1007">
      <x:c r="A1007" s="34"/>
      <x:c r="B1007" s="36"/>
      <x:c r="C1007" s="72"/>
      <x:c r="D1007" s="71"/>
      <x:c r="E1007" s="41" t="str">
        <x:f>IF(D1007="","",D1007+273.15)</x:f>
      </x:c>
      <x:c r="F1007" s="44" t="str">
        <x:f>IF(OR(C1007="",D1007="",C1006=""),"",(C1007-C1006)/60)</x:f>
      </x:c>
      <x:c r="G1007" s="44" t="str">
        <x:f>IF(D1007="","",EXP(-Configuracion!$B$4/Configuracion!$B$5*(1/AVERAGE(E1006:E1007)-1/(Configuracion!$B$3+273.15))))</x:f>
      </x:c>
      <x:c r="H1007" s="44" t="str">
        <x:f>IF(D1007="","",F1007*G1007)</x:f>
      </x:c>
      <x:c r="I1007" s="44" t="str">
        <x:f>IF(D1007="","",I1006+H1007)</x:f>
      </x:c>
      <x:c r="J1007" s="46" t="str">
        <x:f>IF(D1007="","",MIN(1,I1007/Configuracion!$B$11))</x:f>
      </x:c>
      <x:c r="K1007" s="48" t="str">
        <x:f>IF(D1007="","",MAX(0,(Configuracion!$B$11-I1007)/G1007))</x:f>
      </x:c>
      <x:c r="L1007" s="73" t="str">
        <x:f>IF(D1007="","",C1007+K1007*60)</x:f>
      </x:c>
      <x:c r="M1007" t="str">
        <x:f>IF(D1007="","",IF(J1007&gt;=Configuracion!$B$13,"DESLIZAR",IF(J1007&gt;=Configuracion!$B$12,"PREPARARSE","NO DESLIZAR")))</x:f>
      </x:c>
      <x:c r="N1007" s="41" t="str">
        <x:f>IF(D1007="","",D1007-$D$8)</x:f>
      </x:c>
      <x:c r="O1007" s="46" t="str">
        <x:f>IF(D1007="","",MAX(0,MIN(1,N1007/Configuracion!$B$10)))</x:f>
      </x:c>
    </x:row>
  </x:sheetData>
  <x:mergeCells>
    <x:mergeCell ref="A1:O1"/>
    <x:mergeCell ref="A2:O2"/>
  </x:mergeCells>
  <x:conditionalFormatting sqref="M8:M1007">
    <x:cfRule type="expression" dxfId="0" priority="1">
      <x:formula>M8="NO DESLIZAR"</x:formula>
    </x:cfRule>
    <x:cfRule type="expression" dxfId="1" priority="2">
      <x:formula>M8="PREPARARSE"</x:formula>
    </x:cfRule>
    <x:cfRule type="expression" dxfId="2" priority="3">
      <x:formula>M8="DESLIZAR"</x:formula>
    </x:cfRule>
  </x:conditionalFormatting>
  <x:conditionalFormatting sqref="J8:J1007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{CC895BBE-7D11-2E36-CC0E-D13FC009FA19}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2502399c90741f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C895BBE-7D11-2E36-CC0E-D13FC009FA19}">
            <x14:dataBar gradient="1">
              <x14:cfvo type="min"/>
              <x14:cfvo type="max"/>
              <x14:fillColor rgb="FF5B9BD5"/>
            </x14:dataBar>
          </x14:cfRule>
          <xm:sqref>J8:J1007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" hidden="0" customWidth="1"/>
    <x:col min="4" max="4" width="38" hidden="0" customWidth="1"/>
  </x:cols>
  <x:sheetData>
    <x:row r="1">
      <x:c r="A1" s="58" t="str">
        <x:v>PARÁMETROS DEL MODELO ARRHENIUS</x:v>
      </x:c>
      <x:c r="B1" s="58"/>
      <x:c r="C1" s="58"/>
      <x:c r="D1" s="58"/>
    </x:row>
    <x:row r="2">
      <x:c r="A2" s="12" t="str">
        <x:v>Parámetro</x:v>
      </x:c>
      <x:c r="B2" s="12" t="str">
        <x:v>Valor</x:v>
      </x:c>
      <x:c r="C2" s="59"/>
      <x:c r="D2" s="59" t="str">
        <x:v>Uso</x:v>
      </x:c>
    </x:row>
    <x:row r="3">
      <x:c r="A3" s="59" t="str">
        <x:v>Temperatura de referencia (°C)</x:v>
      </x:c>
      <x:c r="B3" s="60" t="n">
        <x:v>23</x:v>
      </x:c>
      <x:c r="C3" s="59"/>
      <x:c r="D3" s="59" t="str">
        <x:v>Base térmica para tiempo equivalente</x:v>
      </x:c>
    </x:row>
    <x:row r="4">
      <x:c r="A4" s="59" t="str">
        <x:v>Energía de activación (J/mol)</x:v>
      </x:c>
      <x:c r="B4" s="60" t="n">
        <x:v>40000</x:v>
      </x:c>
      <x:c r="C4" s="59"/>
      <x:c r="D4" s="59" t="str">
        <x:v>Calibrable según cemento/aditivo</x:v>
      </x:c>
    </x:row>
    <x:row r="5">
      <x:c r="A5" s="59" t="str">
        <x:v>Constante universal R (J/mol·K)</x:v>
      </x:c>
      <x:c r="B5" s="60" t="n">
        <x:v>8.314</x:v>
      </x:c>
      <x:c r="C5" s="59"/>
      <x:c r="D5" s="59" t="str">
        <x:v>Constante física</x:v>
      </x:c>
    </x:row>
    <x:row r="6">
      <x:c r="A6" s="59" t="str"/>
      <x:c r="B6" s="60" t="str"/>
      <x:c r="C6" s="59"/>
      <x:c r="D6" s="59" t="str"/>
    </x:row>
    <x:row r="7">
      <x:c r="A7" s="59" t="str">
        <x:v>Fraguado patrón (h)</x:v>
      </x:c>
      <x:c r="B7" s="60" t="n">
        <x:v>5</x:v>
      </x:c>
      <x:c r="C7" s="59"/>
      <x:c r="D7" s="59" t="str">
        <x:v>Tiempo observado de fraguado</x:v>
      </x:c>
    </x:row>
    <x:row r="8">
      <x:c r="A8" s="59" t="str">
        <x:v>Temperatura inicial patrón (°C)</x:v>
      </x:c>
      <x:c r="B8" s="60" t="n">
        <x:v>27.1</x:v>
      </x:c>
      <x:c r="C8" s="59"/>
      <x:c r="D8" s="59" t="str">
        <x:v>Temperatura al inicio de registro</x:v>
      </x:c>
    </x:row>
    <x:row r="9">
      <x:c r="A9" s="59" t="str">
        <x:v>Temperatura al fraguado patrón (°C)</x:v>
      </x:c>
      <x:c r="B9" s="60" t="n">
        <x:v>32</x:v>
      </x:c>
      <x:c r="C9" s="59"/>
      <x:c r="D9" s="59" t="str">
        <x:v>Temperatura observada al fraguado</x:v>
      </x:c>
    </x:row>
    <x:row r="10">
      <x:c r="A10" s="59" t="str">
        <x:v>Incremento térmico patrón (°C)</x:v>
      </x:c>
      <x:c r="B10" s="60" t="n">
        <x:f>B9-B8</x:f>
        <x:v>4.899999999999999</x:v>
      </x:c>
      <x:c r="C10" s="59"/>
      <x:c r="D10" s="59" t="str">
        <x:v>Diferencia térmica patrón</x:v>
      </x:c>
    </x:row>
    <x:row r="11">
      <x:c r="A11" s="59" t="str">
        <x:v>Madurez objetivo equivalente (h)</x:v>
      </x:c>
      <x:c r="B11" s="60" t="n">
        <x:v>7.976855441542278</x:v>
      </x:c>
      <x:c r="C11" s="59"/>
      <x:c r="D11" s="59" t="str">
        <x:v>Objetivo calibrado con la curva experimental</x:v>
      </x:c>
    </x:row>
    <x:row r="12">
      <x:c r="A12" s="59" t="str">
        <x:v>Umbral PREPARARSE</x:v>
      </x:c>
      <x:c r="B12" s="61" t="n">
        <x:v>0.7</x:v>
      </x:c>
      <x:c r="C12" s="59"/>
      <x:c r="D12" s="59" t="str">
        <x:v>Aviso amarillo</x:v>
      </x:c>
    </x:row>
    <x:row r="13">
      <x:c r="A13" s="59" t="str">
        <x:v>Umbral DESLIZAR</x:v>
      </x:c>
      <x:c r="B13" s="61" t="n">
        <x:v>0.9</x:v>
      </x:c>
      <x:c r="C13" s="59"/>
      <x:c r="D13" s="59" t="str">
        <x:v>Aviso rojo</x:v>
      </x:c>
    </x:row>
    <x:row r="14">
      <x:c r="A14" s="59"/>
      <x:c r="B14" s="59"/>
      <x:c r="C14" s="59"/>
      <x:c r="D14" s="59"/>
    </x:row>
    <x:row r="15">
      <x:c r="A15" s="62" t="str">
        <x:v>SUPUESTO DE PREDICCIÓN</x:v>
      </x:c>
      <x:c r="B15" s="62" t="str"/>
      <x:c r="C15" s="62" t="str"/>
      <x:c r="D15" s="62" t="str"/>
    </x:row>
    <x:row r="16">
      <x:c r="A16" s="59" t="str">
        <x:v>La hora estimada supone que la temperatura del concreto se mantiene igual a la última lectura.</x:v>
      </x:c>
      <x:c r="B16" s="59" t="str"/>
      <x:c r="C16" s="59" t="str"/>
      <x:c r="D16" s="59" t="str"/>
    </x:row>
    <x:row r="17">
      <x:c r="A17" s="59" t="str">
        <x:v>La predicción debe recalcularse con cada nueva lectura del datalogger.</x:v>
      </x:c>
      <x:c r="B17" s="59" t="str"/>
      <x:c r="C17" s="59" t="str"/>
      <x:c r="D17" s="59" t="str"/>
    </x:row>
    <x:row r="18">
      <x:c r="A18" s="59" t="str">
        <x:v>La decisión final de deslizado debe confirmarse con inspección física y control operativo.</x:v>
      </x:c>
      <x:c r="B18" s="59" t="str"/>
      <x:c r="C18" s="59" t="str"/>
      <x:c r="D18" s="59" t="str"/>
    </x:row>
  </x:sheetData>
  <x:mergeCells>
    <x:mergeCell ref="A1:D1"/>
    <x:mergeCell ref="A15:D15"/>
    <x:mergeCell ref="A16:D16"/>
    <x:mergeCell ref="A17:D17"/>
    <x:mergeCell ref="A18:D18"/>
  </x:mergeCells>
  <x:pageMargins left="0.7" right="0.7" top="0.75" bottom="0.75" header="0.3" footer="0.3"/>
</x:worksheet>
</file>